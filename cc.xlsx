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arakanimal.sharepoint.com/sites/Arak-Project/Shared Documents/General/"/>
    </mc:Choice>
  </mc:AlternateContent>
  <xr:revisionPtr revIDLastSave="0" documentId="8_{C95E0271-9445-4A72-BCF5-12BD7331D6EF}" xr6:coauthVersionLast="47" xr6:coauthVersionMax="47" xr10:uidLastSave="{00000000-0000-0000-0000-000000000000}"/>
  <bookViews>
    <workbookView xWindow="-110" yWindow="-110" windowWidth="19420" windowHeight="10300" xr2:uid="{00000000-000D-0000-FFFF-FFFF00000000}"/>
  </bookViews>
  <sheets>
    <sheet name="Sheet1" sheetId="1" r:id="rId1"/>
    <sheet name="Update Detail with Grouping" sheetId="4" r:id="rId2"/>
    <sheet name="Summary CC" sheetId="2" r:id="rId3"/>
    <sheet name="index" sheetId="6" r:id="rId4"/>
    <sheet name="Grouping" sheetId="5" r:id="rId5"/>
  </sheets>
  <definedNames>
    <definedName name="_xlcn.WorksheetConnection_รายงานข้อร้องเรียนลูกค้าCustomerComplainReport_CC.xlsxOfficeForms.Table1" hidden="1">OfficeForms.Table[]</definedName>
  </definedNames>
  <calcPr calcId="191028"/>
  <pivotCaches>
    <pivotCache cacheId="252" r:id="rId6"/>
    <pivotCache cacheId="253"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fficeForms Table" name="OfficeForms Table" connection="WorksheetConnection_รายงานข้อร้องเรียนลูกค้า (Customer Complain Report _ CC).xlsx!OfficeForms.Table"/>
        </x15:modelTables>
        <x15:extLst>
          <ext xmlns:x16="http://schemas.microsoft.com/office/spreadsheetml/2014/11/main" uri="{9835A34E-60A6-4A7C-AAB8-D5F71C897F49}">
            <x16:modelTimeGroupings>
              <x16:modelTimeGrouping tableName="OfficeForms Table" columnName="วันที่เกิดเหตุ" columnId="วันที่เกิดเหตุ">
                <x16:calculatedTimeColumn columnName="วันที่เกิดเหตุ (Month Index)" columnId="วันที่เกิดเหตุ (Month Index)" contentType="monthsindex" isSelected="1"/>
                <x16:calculatedTimeColumn columnName="วันที่เกิดเหตุ (Month)" columnId="วันที่เกิดเหตุ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3" i="4" l="1"/>
  <c r="A102" i="4"/>
  <c r="B102" i="4"/>
  <c r="C102" i="4"/>
  <c r="D102" i="4"/>
  <c r="E102" i="4"/>
  <c r="F102" i="4"/>
  <c r="G102" i="4"/>
  <c r="H102" i="4"/>
  <c r="I102" i="4"/>
  <c r="J102" i="4"/>
  <c r="K102" i="4"/>
  <c r="L102" i="4"/>
  <c r="M102" i="4"/>
  <c r="N102" i="4"/>
  <c r="O102" i="4"/>
  <c r="P102" i="4"/>
  <c r="Q102" i="4"/>
  <c r="R102" i="4"/>
  <c r="S102" i="4"/>
  <c r="T102" i="4"/>
  <c r="U102" i="4"/>
  <c r="V102" i="4"/>
  <c r="A126" i="4"/>
  <c r="A127" i="4"/>
  <c r="A128" i="4"/>
  <c r="A129" i="4"/>
  <c r="A130" i="4"/>
  <c r="B126" i="4"/>
  <c r="B127" i="4"/>
  <c r="B128" i="4"/>
  <c r="B129" i="4"/>
  <c r="B130" i="4"/>
  <c r="C126" i="4"/>
  <c r="C127" i="4"/>
  <c r="C128" i="4"/>
  <c r="C129" i="4"/>
  <c r="C130" i="4"/>
  <c r="D126" i="4"/>
  <c r="D127" i="4"/>
  <c r="D128" i="4"/>
  <c r="D129" i="4"/>
  <c r="D130" i="4"/>
  <c r="E126" i="4"/>
  <c r="E127" i="4"/>
  <c r="E128" i="4"/>
  <c r="E129" i="4"/>
  <c r="E130" i="4"/>
  <c r="F126" i="4"/>
  <c r="F127" i="4"/>
  <c r="F128" i="4"/>
  <c r="F129" i="4"/>
  <c r="F130" i="4"/>
  <c r="G126" i="4"/>
  <c r="G127" i="4"/>
  <c r="G128" i="4"/>
  <c r="G129" i="4"/>
  <c r="G130" i="4"/>
  <c r="H126" i="4"/>
  <c r="H127" i="4"/>
  <c r="H128" i="4"/>
  <c r="H129" i="4"/>
  <c r="H130" i="4"/>
  <c r="I126" i="4"/>
  <c r="I127" i="4"/>
  <c r="I128" i="4"/>
  <c r="I129" i="4"/>
  <c r="I130" i="4"/>
  <c r="J126" i="4"/>
  <c r="J127" i="4"/>
  <c r="J128" i="4"/>
  <c r="J129" i="4"/>
  <c r="J130" i="4"/>
  <c r="K126" i="4"/>
  <c r="K127" i="4"/>
  <c r="K128" i="4"/>
  <c r="K129" i="4"/>
  <c r="K130" i="4"/>
  <c r="L126" i="4"/>
  <c r="L127" i="4"/>
  <c r="L128" i="4"/>
  <c r="L129" i="4"/>
  <c r="L130" i="4"/>
  <c r="M126" i="4"/>
  <c r="M127" i="4"/>
  <c r="M128" i="4"/>
  <c r="M129" i="4"/>
  <c r="M130" i="4"/>
  <c r="N126" i="4"/>
  <c r="N127" i="4"/>
  <c r="N128" i="4"/>
  <c r="N129" i="4"/>
  <c r="N130" i="4"/>
  <c r="O126" i="4"/>
  <c r="O127" i="4"/>
  <c r="O128" i="4"/>
  <c r="O129" i="4"/>
  <c r="O130" i="4"/>
  <c r="P126" i="4"/>
  <c r="P127" i="4"/>
  <c r="P128" i="4"/>
  <c r="P129" i="4"/>
  <c r="P130" i="4"/>
  <c r="Q126" i="4"/>
  <c r="Q127" i="4"/>
  <c r="Q128" i="4"/>
  <c r="Q129" i="4"/>
  <c r="Q130" i="4"/>
  <c r="R126" i="4"/>
  <c r="R127" i="4"/>
  <c r="R128" i="4"/>
  <c r="R129" i="4"/>
  <c r="R130" i="4"/>
  <c r="S126" i="4"/>
  <c r="S127" i="4"/>
  <c r="S128" i="4"/>
  <c r="S129" i="4"/>
  <c r="S130" i="4"/>
  <c r="T126" i="4"/>
  <c r="T127" i="4"/>
  <c r="T128" i="4"/>
  <c r="T129" i="4"/>
  <c r="T130" i="4"/>
  <c r="U126" i="4"/>
  <c r="U127" i="4"/>
  <c r="U128" i="4"/>
  <c r="U129" i="4"/>
  <c r="U130" i="4"/>
  <c r="V126" i="4"/>
  <c r="V127" i="4"/>
  <c r="V128" i="4"/>
  <c r="V129" i="4"/>
  <c r="V130" i="4"/>
  <c r="A113" i="4"/>
  <c r="A114" i="4"/>
  <c r="A115" i="4"/>
  <c r="A116" i="4"/>
  <c r="A117" i="4"/>
  <c r="A118" i="4"/>
  <c r="A119" i="4"/>
  <c r="A120" i="4"/>
  <c r="A121" i="4"/>
  <c r="A122" i="4"/>
  <c r="A123" i="4"/>
  <c r="A124" i="4"/>
  <c r="A125" i="4"/>
  <c r="B113" i="4"/>
  <c r="B114" i="4"/>
  <c r="B115" i="4"/>
  <c r="B116" i="4"/>
  <c r="B117" i="4"/>
  <c r="B118" i="4"/>
  <c r="B119" i="4"/>
  <c r="B120" i="4"/>
  <c r="B121" i="4"/>
  <c r="B122" i="4"/>
  <c r="B123" i="4"/>
  <c r="B124" i="4"/>
  <c r="B125" i="4"/>
  <c r="C113" i="4"/>
  <c r="C114" i="4"/>
  <c r="C115" i="4"/>
  <c r="C116" i="4"/>
  <c r="C117" i="4"/>
  <c r="C118" i="4"/>
  <c r="C119" i="4"/>
  <c r="C120" i="4"/>
  <c r="C121" i="4"/>
  <c r="C122" i="4"/>
  <c r="C123" i="4"/>
  <c r="C124" i="4"/>
  <c r="C125" i="4"/>
  <c r="D113" i="4"/>
  <c r="D114" i="4"/>
  <c r="D115" i="4"/>
  <c r="D116" i="4"/>
  <c r="D117" i="4"/>
  <c r="D118" i="4"/>
  <c r="D119" i="4"/>
  <c r="D120" i="4"/>
  <c r="D121" i="4"/>
  <c r="D122" i="4"/>
  <c r="D123" i="4"/>
  <c r="D124" i="4"/>
  <c r="D125" i="4"/>
  <c r="E113" i="4"/>
  <c r="E114" i="4"/>
  <c r="E115" i="4"/>
  <c r="E116" i="4"/>
  <c r="E117" i="4"/>
  <c r="E118" i="4"/>
  <c r="E119" i="4"/>
  <c r="E120" i="4"/>
  <c r="E121" i="4"/>
  <c r="E122" i="4"/>
  <c r="E123" i="4"/>
  <c r="E124" i="4"/>
  <c r="E125" i="4"/>
  <c r="F113" i="4"/>
  <c r="F114" i="4"/>
  <c r="F115" i="4"/>
  <c r="F116" i="4"/>
  <c r="F117" i="4"/>
  <c r="F118" i="4"/>
  <c r="F119" i="4"/>
  <c r="F120" i="4"/>
  <c r="F121" i="4"/>
  <c r="F122" i="4"/>
  <c r="F123" i="4"/>
  <c r="F124" i="4"/>
  <c r="F125" i="4"/>
  <c r="G113" i="4"/>
  <c r="G114" i="4"/>
  <c r="G115" i="4"/>
  <c r="G116" i="4"/>
  <c r="G117" i="4"/>
  <c r="G118" i="4"/>
  <c r="G119" i="4"/>
  <c r="G120" i="4"/>
  <c r="G121" i="4"/>
  <c r="G122" i="4"/>
  <c r="G123" i="4"/>
  <c r="G124" i="4"/>
  <c r="G125" i="4"/>
  <c r="H113" i="4"/>
  <c r="H114" i="4"/>
  <c r="H115" i="4"/>
  <c r="H116" i="4"/>
  <c r="H117" i="4"/>
  <c r="H118" i="4"/>
  <c r="H119" i="4"/>
  <c r="H120" i="4"/>
  <c r="H121" i="4"/>
  <c r="H122" i="4"/>
  <c r="H123" i="4"/>
  <c r="H124" i="4"/>
  <c r="H125" i="4"/>
  <c r="I113" i="4"/>
  <c r="I114" i="4"/>
  <c r="I115" i="4"/>
  <c r="I116" i="4"/>
  <c r="I117" i="4"/>
  <c r="I118" i="4"/>
  <c r="I119" i="4"/>
  <c r="I120" i="4"/>
  <c r="I121" i="4"/>
  <c r="I122" i="4"/>
  <c r="I123" i="4"/>
  <c r="I124" i="4"/>
  <c r="I125" i="4"/>
  <c r="J113" i="4"/>
  <c r="J114" i="4"/>
  <c r="J115" i="4"/>
  <c r="J116" i="4"/>
  <c r="J117" i="4"/>
  <c r="J118" i="4"/>
  <c r="J119" i="4"/>
  <c r="J120" i="4"/>
  <c r="J121" i="4"/>
  <c r="J122" i="4"/>
  <c r="J123" i="4"/>
  <c r="J124" i="4"/>
  <c r="J125" i="4"/>
  <c r="K113" i="4"/>
  <c r="K114" i="4"/>
  <c r="K115" i="4"/>
  <c r="K116" i="4"/>
  <c r="K117" i="4"/>
  <c r="K118" i="4"/>
  <c r="K119" i="4"/>
  <c r="K120" i="4"/>
  <c r="K121" i="4"/>
  <c r="K122" i="4"/>
  <c r="K123" i="4"/>
  <c r="K124" i="4"/>
  <c r="K125" i="4"/>
  <c r="L113" i="4"/>
  <c r="L114" i="4"/>
  <c r="L115" i="4"/>
  <c r="L116" i="4"/>
  <c r="L117" i="4"/>
  <c r="L118" i="4"/>
  <c r="L119" i="4"/>
  <c r="L120" i="4"/>
  <c r="L121" i="4"/>
  <c r="L122" i="4"/>
  <c r="L123" i="4"/>
  <c r="L124" i="4"/>
  <c r="L125" i="4"/>
  <c r="M113" i="4"/>
  <c r="M114" i="4"/>
  <c r="M115" i="4"/>
  <c r="M116" i="4"/>
  <c r="M117" i="4"/>
  <c r="M118" i="4"/>
  <c r="M119" i="4"/>
  <c r="M120" i="4"/>
  <c r="M121" i="4"/>
  <c r="M122" i="4"/>
  <c r="M123" i="4"/>
  <c r="M124" i="4"/>
  <c r="M125" i="4"/>
  <c r="N113" i="4"/>
  <c r="N114" i="4"/>
  <c r="N115" i="4"/>
  <c r="N116" i="4"/>
  <c r="N117" i="4"/>
  <c r="N118" i="4"/>
  <c r="N119" i="4"/>
  <c r="N120" i="4"/>
  <c r="N121" i="4"/>
  <c r="N122" i="4"/>
  <c r="N123" i="4"/>
  <c r="N124" i="4"/>
  <c r="N125" i="4"/>
  <c r="O113" i="4"/>
  <c r="O114" i="4"/>
  <c r="O115" i="4"/>
  <c r="O116" i="4"/>
  <c r="O117" i="4"/>
  <c r="O118" i="4"/>
  <c r="O119" i="4"/>
  <c r="O120" i="4"/>
  <c r="O121" i="4"/>
  <c r="O122" i="4"/>
  <c r="O123" i="4"/>
  <c r="O124" i="4"/>
  <c r="O125" i="4"/>
  <c r="P113" i="4"/>
  <c r="P114" i="4"/>
  <c r="P115" i="4"/>
  <c r="P116" i="4"/>
  <c r="P117" i="4"/>
  <c r="P118" i="4"/>
  <c r="P119" i="4"/>
  <c r="P120" i="4"/>
  <c r="P121" i="4"/>
  <c r="P122" i="4"/>
  <c r="P123" i="4"/>
  <c r="P124" i="4"/>
  <c r="P125" i="4"/>
  <c r="Q113" i="4"/>
  <c r="Q114" i="4"/>
  <c r="Q115" i="4"/>
  <c r="Q116" i="4"/>
  <c r="Q117" i="4"/>
  <c r="Q118" i="4"/>
  <c r="Q119" i="4"/>
  <c r="Q120" i="4"/>
  <c r="Q121" i="4"/>
  <c r="Q122" i="4"/>
  <c r="Q123" i="4"/>
  <c r="Q124" i="4"/>
  <c r="Q125" i="4"/>
  <c r="R113" i="4"/>
  <c r="R114" i="4"/>
  <c r="R115" i="4"/>
  <c r="R116" i="4"/>
  <c r="R117" i="4"/>
  <c r="R118" i="4"/>
  <c r="R119" i="4"/>
  <c r="R120" i="4"/>
  <c r="R121" i="4"/>
  <c r="R122" i="4"/>
  <c r="R123" i="4"/>
  <c r="R124" i="4"/>
  <c r="R125" i="4"/>
  <c r="S113" i="4"/>
  <c r="S114" i="4"/>
  <c r="S115" i="4"/>
  <c r="S116" i="4"/>
  <c r="S117" i="4"/>
  <c r="S118" i="4"/>
  <c r="S119" i="4"/>
  <c r="S120" i="4"/>
  <c r="S121" i="4"/>
  <c r="S122" i="4"/>
  <c r="S123" i="4"/>
  <c r="S124" i="4"/>
  <c r="S125" i="4"/>
  <c r="T113" i="4"/>
  <c r="T114" i="4"/>
  <c r="T115" i="4"/>
  <c r="T116" i="4"/>
  <c r="T117" i="4"/>
  <c r="T118" i="4"/>
  <c r="T119" i="4"/>
  <c r="T120" i="4"/>
  <c r="T121" i="4"/>
  <c r="T122" i="4"/>
  <c r="T123" i="4"/>
  <c r="T124" i="4"/>
  <c r="T125" i="4"/>
  <c r="U113" i="4"/>
  <c r="U114" i="4"/>
  <c r="U115" i="4"/>
  <c r="U116" i="4"/>
  <c r="U117" i="4"/>
  <c r="U118" i="4"/>
  <c r="U119" i="4"/>
  <c r="U120" i="4"/>
  <c r="U121" i="4"/>
  <c r="U122" i="4"/>
  <c r="U123" i="4"/>
  <c r="U124" i="4"/>
  <c r="U125" i="4"/>
  <c r="V113" i="4"/>
  <c r="V114" i="4"/>
  <c r="V115" i="4"/>
  <c r="V116" i="4"/>
  <c r="V117" i="4"/>
  <c r="V118" i="4"/>
  <c r="V119" i="4"/>
  <c r="V120" i="4"/>
  <c r="V121" i="4"/>
  <c r="V122" i="4"/>
  <c r="V123" i="4"/>
  <c r="V124" i="4"/>
  <c r="V125" i="4"/>
  <c r="M63" i="4"/>
  <c r="N9" i="4"/>
  <c r="V112" i="4"/>
  <c r="U112" i="4"/>
  <c r="T112" i="4"/>
  <c r="S112" i="4"/>
  <c r="R112" i="4"/>
  <c r="Q112" i="4"/>
  <c r="P112" i="4"/>
  <c r="O112" i="4"/>
  <c r="N112" i="4"/>
  <c r="M112" i="4"/>
  <c r="L112" i="4"/>
  <c r="K112" i="4"/>
  <c r="J112" i="4"/>
  <c r="I112" i="4"/>
  <c r="H112" i="4"/>
  <c r="G112" i="4"/>
  <c r="F112" i="4"/>
  <c r="E112" i="4"/>
  <c r="D112" i="4"/>
  <c r="C112" i="4"/>
  <c r="B112" i="4"/>
  <c r="A112" i="4"/>
  <c r="M103" i="4"/>
  <c r="A103" i="4"/>
  <c r="A104" i="4"/>
  <c r="A105" i="4"/>
  <c r="A106" i="4"/>
  <c r="A107" i="4"/>
  <c r="A108" i="4"/>
  <c r="A109" i="4"/>
  <c r="A110" i="4"/>
  <c r="A111" i="4"/>
  <c r="B103" i="4"/>
  <c r="B104" i="4"/>
  <c r="B105" i="4"/>
  <c r="B106" i="4"/>
  <c r="B107" i="4"/>
  <c r="B108" i="4"/>
  <c r="B109" i="4"/>
  <c r="B110" i="4"/>
  <c r="B111" i="4"/>
  <c r="C103" i="4"/>
  <c r="C104" i="4"/>
  <c r="C105" i="4"/>
  <c r="C106" i="4"/>
  <c r="C107" i="4"/>
  <c r="C108" i="4"/>
  <c r="C109" i="4"/>
  <c r="C110" i="4"/>
  <c r="C111" i="4"/>
  <c r="D103" i="4"/>
  <c r="D104" i="4"/>
  <c r="D105" i="4"/>
  <c r="D106" i="4"/>
  <c r="D107" i="4"/>
  <c r="D108" i="4"/>
  <c r="D109" i="4"/>
  <c r="D110" i="4"/>
  <c r="D111" i="4"/>
  <c r="E103" i="4"/>
  <c r="E104" i="4"/>
  <c r="E105" i="4"/>
  <c r="E106" i="4"/>
  <c r="E107" i="4"/>
  <c r="E108" i="4"/>
  <c r="E109" i="4"/>
  <c r="E110" i="4"/>
  <c r="E111" i="4"/>
  <c r="F103" i="4"/>
  <c r="F104" i="4"/>
  <c r="F105" i="4"/>
  <c r="F106" i="4"/>
  <c r="F107" i="4"/>
  <c r="F108" i="4"/>
  <c r="F109" i="4"/>
  <c r="F110" i="4"/>
  <c r="F111" i="4"/>
  <c r="G103" i="4"/>
  <c r="G104" i="4"/>
  <c r="G105" i="4"/>
  <c r="G106" i="4"/>
  <c r="G107" i="4"/>
  <c r="G108" i="4"/>
  <c r="G109" i="4"/>
  <c r="G110" i="4"/>
  <c r="G111" i="4"/>
  <c r="H103" i="4"/>
  <c r="H104" i="4"/>
  <c r="H105" i="4"/>
  <c r="H106" i="4"/>
  <c r="H107" i="4"/>
  <c r="H108" i="4"/>
  <c r="H109" i="4"/>
  <c r="H110" i="4"/>
  <c r="H111" i="4"/>
  <c r="I103" i="4"/>
  <c r="I104" i="4"/>
  <c r="I105" i="4"/>
  <c r="I106" i="4"/>
  <c r="I107" i="4"/>
  <c r="I108" i="4"/>
  <c r="I109" i="4"/>
  <c r="I110" i="4"/>
  <c r="I111" i="4"/>
  <c r="J103" i="4"/>
  <c r="J104" i="4"/>
  <c r="J105" i="4"/>
  <c r="J106" i="4"/>
  <c r="J107" i="4"/>
  <c r="J108" i="4"/>
  <c r="J109" i="4"/>
  <c r="J110" i="4"/>
  <c r="J111" i="4"/>
  <c r="K103" i="4"/>
  <c r="K104" i="4"/>
  <c r="K105" i="4"/>
  <c r="K106" i="4"/>
  <c r="K107" i="4"/>
  <c r="K108" i="4"/>
  <c r="K109" i="4"/>
  <c r="K110" i="4"/>
  <c r="K111" i="4"/>
  <c r="L103" i="4"/>
  <c r="L104" i="4"/>
  <c r="L105" i="4"/>
  <c r="L106" i="4"/>
  <c r="L107" i="4"/>
  <c r="L108" i="4"/>
  <c r="L109" i="4"/>
  <c r="L110" i="4"/>
  <c r="L111" i="4"/>
  <c r="M104" i="4"/>
  <c r="M105" i="4"/>
  <c r="M106" i="4"/>
  <c r="M107" i="4"/>
  <c r="M108" i="4"/>
  <c r="M109" i="4"/>
  <c r="M110" i="4"/>
  <c r="M111" i="4"/>
  <c r="N103" i="4"/>
  <c r="N104" i="4"/>
  <c r="N105" i="4"/>
  <c r="N106" i="4"/>
  <c r="N107" i="4"/>
  <c r="N108" i="4"/>
  <c r="N109" i="4"/>
  <c r="N110" i="4"/>
  <c r="N111" i="4"/>
  <c r="O103" i="4"/>
  <c r="O104" i="4"/>
  <c r="O105" i="4"/>
  <c r="O106" i="4"/>
  <c r="O107" i="4"/>
  <c r="O108" i="4"/>
  <c r="O109" i="4"/>
  <c r="O110" i="4"/>
  <c r="O111" i="4"/>
  <c r="P103" i="4"/>
  <c r="P104" i="4"/>
  <c r="P105" i="4"/>
  <c r="P106" i="4"/>
  <c r="P107" i="4"/>
  <c r="P108" i="4"/>
  <c r="P109" i="4"/>
  <c r="P110" i="4"/>
  <c r="P111" i="4"/>
  <c r="Q103" i="4"/>
  <c r="Q104" i="4"/>
  <c r="Q105" i="4"/>
  <c r="Q106" i="4"/>
  <c r="Q107" i="4"/>
  <c r="Q108" i="4"/>
  <c r="Q109" i="4"/>
  <c r="Q110" i="4"/>
  <c r="Q111" i="4"/>
  <c r="R103" i="4"/>
  <c r="R104" i="4"/>
  <c r="R105" i="4"/>
  <c r="R106" i="4"/>
  <c r="R107" i="4"/>
  <c r="R108" i="4"/>
  <c r="R109" i="4"/>
  <c r="R110" i="4"/>
  <c r="R111" i="4"/>
  <c r="S103" i="4"/>
  <c r="S104" i="4"/>
  <c r="S105" i="4"/>
  <c r="S106" i="4"/>
  <c r="S107" i="4"/>
  <c r="S108" i="4"/>
  <c r="S109" i="4"/>
  <c r="S110" i="4"/>
  <c r="S111" i="4"/>
  <c r="T103" i="4"/>
  <c r="T104" i="4"/>
  <c r="T105" i="4"/>
  <c r="T106" i="4"/>
  <c r="T107" i="4"/>
  <c r="T108" i="4"/>
  <c r="T109" i="4"/>
  <c r="T110" i="4"/>
  <c r="T111" i="4"/>
  <c r="U103" i="4"/>
  <c r="U104" i="4"/>
  <c r="U105" i="4"/>
  <c r="U106" i="4"/>
  <c r="U107" i="4"/>
  <c r="U108" i="4"/>
  <c r="U109" i="4"/>
  <c r="U110" i="4"/>
  <c r="U111" i="4"/>
  <c r="V103" i="4"/>
  <c r="V104" i="4"/>
  <c r="V105" i="4"/>
  <c r="V106" i="4"/>
  <c r="V107" i="4"/>
  <c r="V108" i="4"/>
  <c r="V109" i="4"/>
  <c r="V110" i="4"/>
  <c r="V111" i="4"/>
  <c r="A94" i="4"/>
  <c r="A95" i="4"/>
  <c r="A96" i="4"/>
  <c r="A97" i="4"/>
  <c r="A98" i="4"/>
  <c r="A99" i="4"/>
  <c r="A100" i="4"/>
  <c r="A101" i="4"/>
  <c r="B94" i="4"/>
  <c r="B95" i="4"/>
  <c r="B96" i="4"/>
  <c r="B97" i="4"/>
  <c r="B98" i="4"/>
  <c r="B99" i="4"/>
  <c r="B100" i="4"/>
  <c r="B101" i="4"/>
  <c r="C94" i="4"/>
  <c r="C95" i="4"/>
  <c r="C96" i="4"/>
  <c r="C97" i="4"/>
  <c r="C98" i="4"/>
  <c r="C99" i="4"/>
  <c r="C100" i="4"/>
  <c r="C101" i="4"/>
  <c r="D94" i="4"/>
  <c r="D95" i="4"/>
  <c r="D96" i="4"/>
  <c r="D97" i="4"/>
  <c r="D98" i="4"/>
  <c r="D99" i="4"/>
  <c r="D100" i="4"/>
  <c r="D101" i="4"/>
  <c r="E94" i="4"/>
  <c r="E95" i="4"/>
  <c r="E96" i="4"/>
  <c r="E97" i="4"/>
  <c r="E98" i="4"/>
  <c r="E99" i="4"/>
  <c r="E100" i="4"/>
  <c r="E101" i="4"/>
  <c r="F94" i="4"/>
  <c r="F95" i="4"/>
  <c r="F96" i="4"/>
  <c r="F97" i="4"/>
  <c r="F98" i="4"/>
  <c r="F99" i="4"/>
  <c r="F100" i="4"/>
  <c r="F101" i="4"/>
  <c r="G94" i="4"/>
  <c r="G95" i="4"/>
  <c r="G96" i="4"/>
  <c r="G97" i="4"/>
  <c r="G98" i="4"/>
  <c r="G99" i="4"/>
  <c r="G100" i="4"/>
  <c r="G101" i="4"/>
  <c r="H94" i="4"/>
  <c r="H95" i="4"/>
  <c r="H96" i="4"/>
  <c r="H97" i="4"/>
  <c r="H98" i="4"/>
  <c r="H99" i="4"/>
  <c r="H100" i="4"/>
  <c r="H101" i="4"/>
  <c r="I94" i="4"/>
  <c r="I95" i="4"/>
  <c r="I96" i="4"/>
  <c r="I97" i="4"/>
  <c r="I98" i="4"/>
  <c r="I99" i="4"/>
  <c r="I100" i="4"/>
  <c r="I101" i="4"/>
  <c r="J94" i="4"/>
  <c r="J95" i="4"/>
  <c r="J96" i="4"/>
  <c r="J97" i="4"/>
  <c r="J98" i="4"/>
  <c r="J99" i="4"/>
  <c r="J100" i="4"/>
  <c r="J101" i="4"/>
  <c r="K94" i="4"/>
  <c r="K95" i="4"/>
  <c r="K96" i="4"/>
  <c r="K97" i="4"/>
  <c r="K98" i="4"/>
  <c r="K99" i="4"/>
  <c r="K100" i="4"/>
  <c r="K101" i="4"/>
  <c r="L94" i="4"/>
  <c r="L95" i="4"/>
  <c r="L96" i="4"/>
  <c r="L97" i="4"/>
  <c r="L98" i="4"/>
  <c r="L99" i="4"/>
  <c r="L100" i="4"/>
  <c r="L101" i="4"/>
  <c r="M94" i="4"/>
  <c r="M95" i="4"/>
  <c r="M96" i="4"/>
  <c r="M97" i="4"/>
  <c r="M98" i="4"/>
  <c r="M99" i="4"/>
  <c r="M100" i="4"/>
  <c r="M101" i="4"/>
  <c r="N94" i="4"/>
  <c r="N95" i="4"/>
  <c r="N96" i="4"/>
  <c r="N97" i="4"/>
  <c r="N98" i="4"/>
  <c r="N101" i="4"/>
  <c r="O94" i="4"/>
  <c r="O95" i="4"/>
  <c r="O96" i="4"/>
  <c r="O97" i="4"/>
  <c r="O98" i="4"/>
  <c r="O99" i="4"/>
  <c r="O100" i="4"/>
  <c r="O101" i="4"/>
  <c r="P94" i="4"/>
  <c r="P95" i="4"/>
  <c r="P96" i="4"/>
  <c r="P97" i="4"/>
  <c r="P98" i="4"/>
  <c r="P99" i="4"/>
  <c r="P100" i="4"/>
  <c r="P101" i="4"/>
  <c r="Q94" i="4"/>
  <c r="Q95" i="4"/>
  <c r="Q96" i="4"/>
  <c r="Q97" i="4"/>
  <c r="Q98" i="4"/>
  <c r="Q99" i="4"/>
  <c r="Q100" i="4"/>
  <c r="Q101" i="4"/>
  <c r="R94" i="4"/>
  <c r="R95" i="4"/>
  <c r="R96" i="4"/>
  <c r="R97" i="4"/>
  <c r="R98" i="4"/>
  <c r="R99" i="4"/>
  <c r="R100" i="4"/>
  <c r="R101" i="4"/>
  <c r="S94" i="4"/>
  <c r="S95" i="4"/>
  <c r="S96" i="4"/>
  <c r="S97" i="4"/>
  <c r="S98" i="4"/>
  <c r="S99" i="4"/>
  <c r="S100" i="4"/>
  <c r="S101" i="4"/>
  <c r="T94" i="4"/>
  <c r="T95" i="4"/>
  <c r="T96" i="4"/>
  <c r="T97" i="4"/>
  <c r="T98" i="4"/>
  <c r="T99" i="4"/>
  <c r="T100" i="4"/>
  <c r="T101" i="4"/>
  <c r="U94" i="4"/>
  <c r="U95" i="4"/>
  <c r="U96" i="4"/>
  <c r="U97" i="4"/>
  <c r="U98" i="4"/>
  <c r="U99" i="4"/>
  <c r="U100" i="4"/>
  <c r="U101" i="4"/>
  <c r="V94" i="4"/>
  <c r="V95" i="4"/>
  <c r="V96" i="4"/>
  <c r="V97" i="4"/>
  <c r="V98" i="4"/>
  <c r="V99" i="4"/>
  <c r="V100" i="4"/>
  <c r="V101" i="4"/>
  <c r="A3" i="4"/>
  <c r="B3" i="4"/>
  <c r="C3" i="4"/>
  <c r="D3" i="4"/>
  <c r="E3" i="4"/>
  <c r="F3" i="4"/>
  <c r="G3" i="4"/>
  <c r="H3" i="4"/>
  <c r="I3" i="4"/>
  <c r="J3" i="4"/>
  <c r="K3" i="4"/>
  <c r="M3" i="4"/>
  <c r="N3" i="4"/>
  <c r="O3" i="4"/>
  <c r="P3" i="4"/>
  <c r="Q3" i="4"/>
  <c r="R3" i="4"/>
  <c r="S3" i="4"/>
  <c r="T3" i="4"/>
  <c r="U3" i="4"/>
  <c r="V3" i="4"/>
  <c r="A4" i="4"/>
  <c r="B4" i="4"/>
  <c r="C4" i="4"/>
  <c r="D4" i="4"/>
  <c r="E4" i="4"/>
  <c r="F4" i="4"/>
  <c r="G4" i="4"/>
  <c r="H4" i="4"/>
  <c r="I4" i="4"/>
  <c r="J4" i="4"/>
  <c r="K4" i="4"/>
  <c r="M4" i="4"/>
  <c r="N4" i="4"/>
  <c r="O4" i="4"/>
  <c r="P4" i="4"/>
  <c r="Q4" i="4"/>
  <c r="R4" i="4"/>
  <c r="S4" i="4"/>
  <c r="T4" i="4"/>
  <c r="U4" i="4"/>
  <c r="V4" i="4"/>
  <c r="A5" i="4"/>
  <c r="B5" i="4"/>
  <c r="C5" i="4"/>
  <c r="D5" i="4"/>
  <c r="E5" i="4"/>
  <c r="F5" i="4"/>
  <c r="G5" i="4"/>
  <c r="H5" i="4"/>
  <c r="I5" i="4"/>
  <c r="J5" i="4"/>
  <c r="K5" i="4"/>
  <c r="M5" i="4"/>
  <c r="N5" i="4"/>
  <c r="O5" i="4"/>
  <c r="P5" i="4"/>
  <c r="Q5" i="4"/>
  <c r="R5" i="4"/>
  <c r="S5" i="4"/>
  <c r="T5" i="4"/>
  <c r="U5" i="4"/>
  <c r="V5" i="4"/>
  <c r="A6" i="4"/>
  <c r="B6" i="4"/>
  <c r="C6" i="4"/>
  <c r="D6" i="4"/>
  <c r="E6" i="4"/>
  <c r="F6" i="4"/>
  <c r="G6" i="4"/>
  <c r="H6" i="4"/>
  <c r="I6" i="4"/>
  <c r="J6" i="4"/>
  <c r="K6" i="4"/>
  <c r="M6" i="4"/>
  <c r="N6" i="4"/>
  <c r="O6" i="4"/>
  <c r="P6" i="4"/>
  <c r="Q6" i="4"/>
  <c r="R6" i="4"/>
  <c r="S6" i="4"/>
  <c r="T6" i="4"/>
  <c r="U6" i="4"/>
  <c r="V6" i="4"/>
  <c r="A7" i="4"/>
  <c r="B7" i="4"/>
  <c r="C7" i="4"/>
  <c r="D7" i="4"/>
  <c r="E7" i="4"/>
  <c r="F7" i="4"/>
  <c r="G7" i="4"/>
  <c r="H7" i="4"/>
  <c r="I7" i="4"/>
  <c r="J7" i="4"/>
  <c r="K7" i="4"/>
  <c r="M7" i="4"/>
  <c r="N7" i="4"/>
  <c r="O7" i="4"/>
  <c r="P7" i="4"/>
  <c r="Q7" i="4"/>
  <c r="R7" i="4"/>
  <c r="S7" i="4"/>
  <c r="T7" i="4"/>
  <c r="U7" i="4"/>
  <c r="V7" i="4"/>
  <c r="A8" i="4"/>
  <c r="B8" i="4"/>
  <c r="C8" i="4"/>
  <c r="D8" i="4"/>
  <c r="E8" i="4"/>
  <c r="F8" i="4"/>
  <c r="G8" i="4"/>
  <c r="H8" i="4"/>
  <c r="I8" i="4"/>
  <c r="J8" i="4"/>
  <c r="K8" i="4"/>
  <c r="M8" i="4"/>
  <c r="N8" i="4"/>
  <c r="O8" i="4"/>
  <c r="P8" i="4"/>
  <c r="Q8" i="4"/>
  <c r="R8" i="4"/>
  <c r="S8" i="4"/>
  <c r="T8" i="4"/>
  <c r="U8" i="4"/>
  <c r="V8" i="4"/>
  <c r="A9" i="4"/>
  <c r="B9" i="4"/>
  <c r="C9" i="4"/>
  <c r="D9" i="4"/>
  <c r="E9" i="4"/>
  <c r="F9" i="4"/>
  <c r="G9" i="4"/>
  <c r="H9" i="4"/>
  <c r="I9" i="4"/>
  <c r="J9" i="4"/>
  <c r="K9" i="4"/>
  <c r="M9" i="4"/>
  <c r="O9" i="4"/>
  <c r="P9" i="4"/>
  <c r="Q9" i="4"/>
  <c r="R9" i="4"/>
  <c r="S9" i="4"/>
  <c r="T9" i="4"/>
  <c r="U9" i="4"/>
  <c r="V9" i="4"/>
  <c r="A10" i="4"/>
  <c r="B10" i="4"/>
  <c r="C10" i="4"/>
  <c r="D10" i="4"/>
  <c r="E10" i="4"/>
  <c r="F10" i="4"/>
  <c r="G10" i="4"/>
  <c r="H10" i="4"/>
  <c r="I10" i="4"/>
  <c r="J10" i="4"/>
  <c r="K10" i="4"/>
  <c r="M10" i="4"/>
  <c r="N10" i="4"/>
  <c r="O10" i="4"/>
  <c r="P10" i="4"/>
  <c r="Q10" i="4"/>
  <c r="R10" i="4"/>
  <c r="S10" i="4"/>
  <c r="T10" i="4"/>
  <c r="U10" i="4"/>
  <c r="V10" i="4"/>
  <c r="A11" i="4"/>
  <c r="B11" i="4"/>
  <c r="C11" i="4"/>
  <c r="D11" i="4"/>
  <c r="E11" i="4"/>
  <c r="F11" i="4"/>
  <c r="G11" i="4"/>
  <c r="H11" i="4"/>
  <c r="I11" i="4"/>
  <c r="J11" i="4"/>
  <c r="K11" i="4"/>
  <c r="M11" i="4"/>
  <c r="N11" i="4"/>
  <c r="O11" i="4"/>
  <c r="P11" i="4"/>
  <c r="Q11" i="4"/>
  <c r="R11" i="4"/>
  <c r="S11" i="4"/>
  <c r="T11" i="4"/>
  <c r="U11" i="4"/>
  <c r="V11" i="4"/>
  <c r="A12" i="4"/>
  <c r="B12" i="4"/>
  <c r="C12" i="4"/>
  <c r="D12" i="4"/>
  <c r="E12" i="4"/>
  <c r="F12" i="4"/>
  <c r="G12" i="4"/>
  <c r="H12" i="4"/>
  <c r="I12" i="4"/>
  <c r="J12" i="4"/>
  <c r="K12" i="4"/>
  <c r="M12" i="4"/>
  <c r="N12" i="4"/>
  <c r="O12" i="4"/>
  <c r="P12" i="4"/>
  <c r="Q12" i="4"/>
  <c r="R12" i="4"/>
  <c r="S12" i="4"/>
  <c r="T12" i="4"/>
  <c r="U12" i="4"/>
  <c r="V12" i="4"/>
  <c r="A13" i="4"/>
  <c r="B13" i="4"/>
  <c r="C13" i="4"/>
  <c r="D13" i="4"/>
  <c r="E13" i="4"/>
  <c r="F13" i="4"/>
  <c r="G13" i="4"/>
  <c r="H13" i="4"/>
  <c r="I13" i="4"/>
  <c r="J13" i="4"/>
  <c r="K13" i="4"/>
  <c r="M13" i="4"/>
  <c r="N13" i="4"/>
  <c r="O13" i="4"/>
  <c r="P13" i="4"/>
  <c r="Q13" i="4"/>
  <c r="R13" i="4"/>
  <c r="S13" i="4"/>
  <c r="T13" i="4"/>
  <c r="U13" i="4"/>
  <c r="V13" i="4"/>
  <c r="A14" i="4"/>
  <c r="B14" i="4"/>
  <c r="C14" i="4"/>
  <c r="D14" i="4"/>
  <c r="E14" i="4"/>
  <c r="F14" i="4"/>
  <c r="G14" i="4"/>
  <c r="H14" i="4"/>
  <c r="I14" i="4"/>
  <c r="J14" i="4"/>
  <c r="K14" i="4"/>
  <c r="M14" i="4"/>
  <c r="N14" i="4"/>
  <c r="O14" i="4"/>
  <c r="P14" i="4"/>
  <c r="Q14" i="4"/>
  <c r="R14" i="4"/>
  <c r="S14" i="4"/>
  <c r="T14" i="4"/>
  <c r="U14" i="4"/>
  <c r="V14" i="4"/>
  <c r="A15" i="4"/>
  <c r="B15" i="4"/>
  <c r="C15" i="4"/>
  <c r="D15" i="4"/>
  <c r="E15" i="4"/>
  <c r="F15" i="4"/>
  <c r="G15" i="4"/>
  <c r="H15" i="4"/>
  <c r="I15" i="4"/>
  <c r="J15" i="4"/>
  <c r="K15" i="4"/>
  <c r="M15" i="4"/>
  <c r="N15" i="4"/>
  <c r="O15" i="4"/>
  <c r="P15" i="4"/>
  <c r="Q15" i="4"/>
  <c r="R15" i="4"/>
  <c r="S15" i="4"/>
  <c r="T15" i="4"/>
  <c r="U15" i="4"/>
  <c r="V15" i="4"/>
  <c r="A16" i="4"/>
  <c r="B16" i="4"/>
  <c r="C16" i="4"/>
  <c r="D16" i="4"/>
  <c r="E16" i="4"/>
  <c r="F16" i="4"/>
  <c r="G16" i="4"/>
  <c r="H16" i="4"/>
  <c r="I16" i="4"/>
  <c r="J16" i="4"/>
  <c r="K16" i="4"/>
  <c r="M16" i="4"/>
  <c r="N16" i="4"/>
  <c r="O16" i="4"/>
  <c r="P16" i="4"/>
  <c r="Q16" i="4"/>
  <c r="R16" i="4"/>
  <c r="S16" i="4"/>
  <c r="T16" i="4"/>
  <c r="U16" i="4"/>
  <c r="V16" i="4"/>
  <c r="A17" i="4"/>
  <c r="B17" i="4"/>
  <c r="C17" i="4"/>
  <c r="D17" i="4"/>
  <c r="E17" i="4"/>
  <c r="F17" i="4"/>
  <c r="G17" i="4"/>
  <c r="H17" i="4"/>
  <c r="I17" i="4"/>
  <c r="J17" i="4"/>
  <c r="K17" i="4"/>
  <c r="M17" i="4"/>
  <c r="N17" i="4"/>
  <c r="O17" i="4"/>
  <c r="P17" i="4"/>
  <c r="Q17" i="4"/>
  <c r="R17" i="4"/>
  <c r="S17" i="4"/>
  <c r="T17" i="4"/>
  <c r="U17" i="4"/>
  <c r="V17" i="4"/>
  <c r="A18" i="4"/>
  <c r="B18" i="4"/>
  <c r="C18" i="4"/>
  <c r="D18" i="4"/>
  <c r="E18" i="4"/>
  <c r="F18" i="4"/>
  <c r="G18" i="4"/>
  <c r="H18" i="4"/>
  <c r="I18" i="4"/>
  <c r="J18" i="4"/>
  <c r="K18" i="4"/>
  <c r="M18" i="4"/>
  <c r="N18" i="4"/>
  <c r="O18" i="4"/>
  <c r="P18" i="4"/>
  <c r="Q18" i="4"/>
  <c r="R18" i="4"/>
  <c r="S18" i="4"/>
  <c r="T18" i="4"/>
  <c r="U18" i="4"/>
  <c r="V18" i="4"/>
  <c r="A19" i="4"/>
  <c r="B19" i="4"/>
  <c r="C19" i="4"/>
  <c r="D19" i="4"/>
  <c r="E19" i="4"/>
  <c r="F19" i="4"/>
  <c r="G19" i="4"/>
  <c r="H19" i="4"/>
  <c r="I19" i="4"/>
  <c r="J19" i="4"/>
  <c r="K19" i="4"/>
  <c r="M19" i="4"/>
  <c r="N19" i="4"/>
  <c r="O19" i="4"/>
  <c r="P19" i="4"/>
  <c r="Q19" i="4"/>
  <c r="R19" i="4"/>
  <c r="S19" i="4"/>
  <c r="T19" i="4"/>
  <c r="U19" i="4"/>
  <c r="V19" i="4"/>
  <c r="A20" i="4"/>
  <c r="B20" i="4"/>
  <c r="C20" i="4"/>
  <c r="D20" i="4"/>
  <c r="E20" i="4"/>
  <c r="F20" i="4"/>
  <c r="G20" i="4"/>
  <c r="H20" i="4"/>
  <c r="I20" i="4"/>
  <c r="J20" i="4"/>
  <c r="K20" i="4"/>
  <c r="M20" i="4"/>
  <c r="N20" i="4"/>
  <c r="O20" i="4"/>
  <c r="P20" i="4"/>
  <c r="Q20" i="4"/>
  <c r="R20" i="4"/>
  <c r="S20" i="4"/>
  <c r="T20" i="4"/>
  <c r="U20" i="4"/>
  <c r="V20" i="4"/>
  <c r="A21" i="4"/>
  <c r="B21" i="4"/>
  <c r="C21" i="4"/>
  <c r="D21" i="4"/>
  <c r="E21" i="4"/>
  <c r="F21" i="4"/>
  <c r="G21" i="4"/>
  <c r="H21" i="4"/>
  <c r="I21" i="4"/>
  <c r="J21" i="4"/>
  <c r="K21" i="4"/>
  <c r="M21" i="4"/>
  <c r="N21" i="4"/>
  <c r="O21" i="4"/>
  <c r="P21" i="4"/>
  <c r="Q21" i="4"/>
  <c r="R21" i="4"/>
  <c r="S21" i="4"/>
  <c r="T21" i="4"/>
  <c r="U21" i="4"/>
  <c r="V21" i="4"/>
  <c r="A22" i="4"/>
  <c r="B22" i="4"/>
  <c r="C22" i="4"/>
  <c r="D22" i="4"/>
  <c r="E22" i="4"/>
  <c r="F22" i="4"/>
  <c r="G22" i="4"/>
  <c r="H22" i="4"/>
  <c r="I22" i="4"/>
  <c r="J22" i="4"/>
  <c r="K22" i="4"/>
  <c r="M22" i="4"/>
  <c r="N22" i="4"/>
  <c r="O22" i="4"/>
  <c r="P22" i="4"/>
  <c r="Q22" i="4"/>
  <c r="R22" i="4"/>
  <c r="S22" i="4"/>
  <c r="T22" i="4"/>
  <c r="U22" i="4"/>
  <c r="V22" i="4"/>
  <c r="A23" i="4"/>
  <c r="B23" i="4"/>
  <c r="C23" i="4"/>
  <c r="D23" i="4"/>
  <c r="E23" i="4"/>
  <c r="F23" i="4"/>
  <c r="G23" i="4"/>
  <c r="H23" i="4"/>
  <c r="I23" i="4"/>
  <c r="J23" i="4"/>
  <c r="K23" i="4"/>
  <c r="M23" i="4"/>
  <c r="N23" i="4"/>
  <c r="O23" i="4"/>
  <c r="P23" i="4"/>
  <c r="Q23" i="4"/>
  <c r="R23" i="4"/>
  <c r="S23" i="4"/>
  <c r="T23" i="4"/>
  <c r="U23" i="4"/>
  <c r="V23" i="4"/>
  <c r="A24" i="4"/>
  <c r="B24" i="4"/>
  <c r="C24" i="4"/>
  <c r="D24" i="4"/>
  <c r="E24" i="4"/>
  <c r="F24" i="4"/>
  <c r="G24" i="4"/>
  <c r="H24" i="4"/>
  <c r="I24" i="4"/>
  <c r="J24" i="4"/>
  <c r="K24" i="4"/>
  <c r="M24" i="4"/>
  <c r="N24" i="4"/>
  <c r="O24" i="4"/>
  <c r="P24" i="4"/>
  <c r="Q24" i="4"/>
  <c r="R24" i="4"/>
  <c r="S24" i="4"/>
  <c r="T24" i="4"/>
  <c r="U24" i="4"/>
  <c r="V24" i="4"/>
  <c r="A25" i="4"/>
  <c r="B25" i="4"/>
  <c r="C25" i="4"/>
  <c r="D25" i="4"/>
  <c r="E25" i="4"/>
  <c r="F25" i="4"/>
  <c r="G25" i="4"/>
  <c r="H25" i="4"/>
  <c r="I25" i="4"/>
  <c r="J25" i="4"/>
  <c r="K25" i="4"/>
  <c r="M25" i="4"/>
  <c r="N25" i="4"/>
  <c r="O25" i="4"/>
  <c r="P25" i="4"/>
  <c r="Q25" i="4"/>
  <c r="R25" i="4"/>
  <c r="S25" i="4"/>
  <c r="T25" i="4"/>
  <c r="U25" i="4"/>
  <c r="V25" i="4"/>
  <c r="A26" i="4"/>
  <c r="B26" i="4"/>
  <c r="C26" i="4"/>
  <c r="D26" i="4"/>
  <c r="E26" i="4"/>
  <c r="F26" i="4"/>
  <c r="G26" i="4"/>
  <c r="H26" i="4"/>
  <c r="I26" i="4"/>
  <c r="J26" i="4"/>
  <c r="K26" i="4"/>
  <c r="M26" i="4"/>
  <c r="N26" i="4"/>
  <c r="O26" i="4"/>
  <c r="P26" i="4"/>
  <c r="Q26" i="4"/>
  <c r="R26" i="4"/>
  <c r="S26" i="4"/>
  <c r="T26" i="4"/>
  <c r="U26" i="4"/>
  <c r="V26" i="4"/>
  <c r="A27" i="4"/>
  <c r="B27" i="4"/>
  <c r="C27" i="4"/>
  <c r="D27" i="4"/>
  <c r="E27" i="4"/>
  <c r="F27" i="4"/>
  <c r="G27" i="4"/>
  <c r="H27" i="4"/>
  <c r="I27" i="4"/>
  <c r="J27" i="4"/>
  <c r="K27" i="4"/>
  <c r="M27" i="4"/>
  <c r="N27" i="4"/>
  <c r="O27" i="4"/>
  <c r="P27" i="4"/>
  <c r="Q27" i="4"/>
  <c r="R27" i="4"/>
  <c r="S27" i="4"/>
  <c r="T27" i="4"/>
  <c r="U27" i="4"/>
  <c r="V27" i="4"/>
  <c r="A28" i="4"/>
  <c r="B28" i="4"/>
  <c r="C28" i="4"/>
  <c r="D28" i="4"/>
  <c r="E28" i="4"/>
  <c r="F28" i="4"/>
  <c r="G28" i="4"/>
  <c r="H28" i="4"/>
  <c r="I28" i="4"/>
  <c r="J28" i="4"/>
  <c r="K28" i="4"/>
  <c r="M28" i="4"/>
  <c r="N28" i="4"/>
  <c r="O28" i="4"/>
  <c r="P28" i="4"/>
  <c r="Q28" i="4"/>
  <c r="R28" i="4"/>
  <c r="S28" i="4"/>
  <c r="T28" i="4"/>
  <c r="U28" i="4"/>
  <c r="V28" i="4"/>
  <c r="A29" i="4"/>
  <c r="B29" i="4"/>
  <c r="C29" i="4"/>
  <c r="D29" i="4"/>
  <c r="E29" i="4"/>
  <c r="F29" i="4"/>
  <c r="G29" i="4"/>
  <c r="H29" i="4"/>
  <c r="I29" i="4"/>
  <c r="J29" i="4"/>
  <c r="K29" i="4"/>
  <c r="M29" i="4"/>
  <c r="N29" i="4"/>
  <c r="O29" i="4"/>
  <c r="P29" i="4"/>
  <c r="Q29" i="4"/>
  <c r="R29" i="4"/>
  <c r="S29" i="4"/>
  <c r="T29" i="4"/>
  <c r="U29" i="4"/>
  <c r="V29" i="4"/>
  <c r="A30" i="4"/>
  <c r="B30" i="4"/>
  <c r="C30" i="4"/>
  <c r="D30" i="4"/>
  <c r="E30" i="4"/>
  <c r="F30" i="4"/>
  <c r="G30" i="4"/>
  <c r="H30" i="4"/>
  <c r="I30" i="4"/>
  <c r="J30" i="4"/>
  <c r="K30" i="4"/>
  <c r="M30" i="4"/>
  <c r="N30" i="4"/>
  <c r="O30" i="4"/>
  <c r="P30" i="4"/>
  <c r="Q30" i="4"/>
  <c r="R30" i="4"/>
  <c r="S30" i="4"/>
  <c r="T30" i="4"/>
  <c r="U30" i="4"/>
  <c r="V30" i="4"/>
  <c r="A31" i="4"/>
  <c r="B31" i="4"/>
  <c r="C31" i="4"/>
  <c r="D31" i="4"/>
  <c r="E31" i="4"/>
  <c r="F31" i="4"/>
  <c r="G31" i="4"/>
  <c r="H31" i="4"/>
  <c r="I31" i="4"/>
  <c r="J31" i="4"/>
  <c r="K31" i="4"/>
  <c r="M31" i="4"/>
  <c r="N31" i="4"/>
  <c r="O31" i="4"/>
  <c r="P31" i="4"/>
  <c r="Q31" i="4"/>
  <c r="R31" i="4"/>
  <c r="S31" i="4"/>
  <c r="T31" i="4"/>
  <c r="U31" i="4"/>
  <c r="V31" i="4"/>
  <c r="A32" i="4"/>
  <c r="B32" i="4"/>
  <c r="C32" i="4"/>
  <c r="D32" i="4"/>
  <c r="E32" i="4"/>
  <c r="F32" i="4"/>
  <c r="G32" i="4"/>
  <c r="H32" i="4"/>
  <c r="I32" i="4"/>
  <c r="J32" i="4"/>
  <c r="K32" i="4"/>
  <c r="M32" i="4"/>
  <c r="N32" i="4"/>
  <c r="O32" i="4"/>
  <c r="P32" i="4"/>
  <c r="Q32" i="4"/>
  <c r="R32" i="4"/>
  <c r="S32" i="4"/>
  <c r="T32" i="4"/>
  <c r="U32" i="4"/>
  <c r="V32" i="4"/>
  <c r="A33" i="4"/>
  <c r="B33" i="4"/>
  <c r="C33" i="4"/>
  <c r="D33" i="4"/>
  <c r="E33" i="4"/>
  <c r="F33" i="4"/>
  <c r="G33" i="4"/>
  <c r="H33" i="4"/>
  <c r="I33" i="4"/>
  <c r="J33" i="4"/>
  <c r="K33" i="4"/>
  <c r="M33" i="4"/>
  <c r="N33" i="4"/>
  <c r="O33" i="4"/>
  <c r="P33" i="4"/>
  <c r="Q33" i="4"/>
  <c r="R33" i="4"/>
  <c r="S33" i="4"/>
  <c r="T33" i="4"/>
  <c r="U33" i="4"/>
  <c r="V33" i="4"/>
  <c r="A34" i="4"/>
  <c r="B34" i="4"/>
  <c r="C34" i="4"/>
  <c r="D34" i="4"/>
  <c r="E34" i="4"/>
  <c r="F34" i="4"/>
  <c r="G34" i="4"/>
  <c r="H34" i="4"/>
  <c r="I34" i="4"/>
  <c r="J34" i="4"/>
  <c r="K34" i="4"/>
  <c r="M34" i="4"/>
  <c r="N34" i="4"/>
  <c r="O34" i="4"/>
  <c r="P34" i="4"/>
  <c r="Q34" i="4"/>
  <c r="R34" i="4"/>
  <c r="S34" i="4"/>
  <c r="T34" i="4"/>
  <c r="U34" i="4"/>
  <c r="V34" i="4"/>
  <c r="A35" i="4"/>
  <c r="B35" i="4"/>
  <c r="C35" i="4"/>
  <c r="D35" i="4"/>
  <c r="E35" i="4"/>
  <c r="F35" i="4"/>
  <c r="G35" i="4"/>
  <c r="H35" i="4"/>
  <c r="I35" i="4"/>
  <c r="J35" i="4"/>
  <c r="K35" i="4"/>
  <c r="M35" i="4"/>
  <c r="N35" i="4"/>
  <c r="O35" i="4"/>
  <c r="P35" i="4"/>
  <c r="Q35" i="4"/>
  <c r="R35" i="4"/>
  <c r="S35" i="4"/>
  <c r="T35" i="4"/>
  <c r="U35" i="4"/>
  <c r="V35" i="4"/>
  <c r="A36" i="4"/>
  <c r="B36" i="4"/>
  <c r="C36" i="4"/>
  <c r="D36" i="4"/>
  <c r="E36" i="4"/>
  <c r="F36" i="4"/>
  <c r="G36" i="4"/>
  <c r="H36" i="4"/>
  <c r="I36" i="4"/>
  <c r="J36" i="4"/>
  <c r="K36" i="4"/>
  <c r="M36" i="4"/>
  <c r="N36" i="4"/>
  <c r="O36" i="4"/>
  <c r="P36" i="4"/>
  <c r="Q36" i="4"/>
  <c r="R36" i="4"/>
  <c r="S36" i="4"/>
  <c r="T36" i="4"/>
  <c r="U36" i="4"/>
  <c r="V36" i="4"/>
  <c r="A37" i="4"/>
  <c r="B37" i="4"/>
  <c r="C37" i="4"/>
  <c r="D37" i="4"/>
  <c r="E37" i="4"/>
  <c r="F37" i="4"/>
  <c r="G37" i="4"/>
  <c r="H37" i="4"/>
  <c r="I37" i="4"/>
  <c r="J37" i="4"/>
  <c r="K37" i="4"/>
  <c r="M37" i="4"/>
  <c r="N37" i="4"/>
  <c r="O37" i="4"/>
  <c r="P37" i="4"/>
  <c r="Q37" i="4"/>
  <c r="R37" i="4"/>
  <c r="S37" i="4"/>
  <c r="T37" i="4"/>
  <c r="U37" i="4"/>
  <c r="V37" i="4"/>
  <c r="A38" i="4"/>
  <c r="B38" i="4"/>
  <c r="C38" i="4"/>
  <c r="D38" i="4"/>
  <c r="E38" i="4"/>
  <c r="F38" i="4"/>
  <c r="G38" i="4"/>
  <c r="H38" i="4"/>
  <c r="I38" i="4"/>
  <c r="J38" i="4"/>
  <c r="K38" i="4"/>
  <c r="M38" i="4"/>
  <c r="N38" i="4"/>
  <c r="O38" i="4"/>
  <c r="P38" i="4"/>
  <c r="Q38" i="4"/>
  <c r="R38" i="4"/>
  <c r="S38" i="4"/>
  <c r="T38" i="4"/>
  <c r="U38" i="4"/>
  <c r="V38" i="4"/>
  <c r="A39" i="4"/>
  <c r="B39" i="4"/>
  <c r="C39" i="4"/>
  <c r="D39" i="4"/>
  <c r="E39" i="4"/>
  <c r="F39" i="4"/>
  <c r="G39" i="4"/>
  <c r="H39" i="4"/>
  <c r="I39" i="4"/>
  <c r="J39" i="4"/>
  <c r="K39" i="4"/>
  <c r="M39" i="4"/>
  <c r="N39" i="4"/>
  <c r="O39" i="4"/>
  <c r="P39" i="4"/>
  <c r="Q39" i="4"/>
  <c r="R39" i="4"/>
  <c r="S39" i="4"/>
  <c r="T39" i="4"/>
  <c r="U39" i="4"/>
  <c r="V39" i="4"/>
  <c r="A40" i="4"/>
  <c r="B40" i="4"/>
  <c r="C40" i="4"/>
  <c r="D40" i="4"/>
  <c r="E40" i="4"/>
  <c r="F40" i="4"/>
  <c r="G40" i="4"/>
  <c r="H40" i="4"/>
  <c r="I40" i="4"/>
  <c r="J40" i="4"/>
  <c r="K40" i="4"/>
  <c r="M40" i="4"/>
  <c r="N40" i="4"/>
  <c r="O40" i="4"/>
  <c r="P40" i="4"/>
  <c r="Q40" i="4"/>
  <c r="R40" i="4"/>
  <c r="S40" i="4"/>
  <c r="T40" i="4"/>
  <c r="U40" i="4"/>
  <c r="V40" i="4"/>
  <c r="A41" i="4"/>
  <c r="B41" i="4"/>
  <c r="C41" i="4"/>
  <c r="D41" i="4"/>
  <c r="E41" i="4"/>
  <c r="F41" i="4"/>
  <c r="G41" i="4"/>
  <c r="H41" i="4"/>
  <c r="I41" i="4"/>
  <c r="J41" i="4"/>
  <c r="K41" i="4"/>
  <c r="M41" i="4"/>
  <c r="N41" i="4"/>
  <c r="O41" i="4"/>
  <c r="P41" i="4"/>
  <c r="Q41" i="4"/>
  <c r="R41" i="4"/>
  <c r="S41" i="4"/>
  <c r="T41" i="4"/>
  <c r="U41" i="4"/>
  <c r="V41" i="4"/>
  <c r="A42" i="4"/>
  <c r="B42" i="4"/>
  <c r="C42" i="4"/>
  <c r="D42" i="4"/>
  <c r="E42" i="4"/>
  <c r="F42" i="4"/>
  <c r="G42" i="4"/>
  <c r="H42" i="4"/>
  <c r="I42" i="4"/>
  <c r="J42" i="4"/>
  <c r="K42" i="4"/>
  <c r="M42" i="4"/>
  <c r="N42" i="4"/>
  <c r="O42" i="4"/>
  <c r="P42" i="4"/>
  <c r="Q42" i="4"/>
  <c r="R42" i="4"/>
  <c r="S42" i="4"/>
  <c r="T42" i="4"/>
  <c r="U42" i="4"/>
  <c r="V42" i="4"/>
  <c r="A43" i="4"/>
  <c r="B43" i="4"/>
  <c r="C43" i="4"/>
  <c r="D43" i="4"/>
  <c r="E43" i="4"/>
  <c r="F43" i="4"/>
  <c r="G43" i="4"/>
  <c r="H43" i="4"/>
  <c r="I43" i="4"/>
  <c r="J43" i="4"/>
  <c r="K43" i="4"/>
  <c r="M43" i="4"/>
  <c r="N43" i="4"/>
  <c r="O43" i="4"/>
  <c r="P43" i="4"/>
  <c r="Q43" i="4"/>
  <c r="R43" i="4"/>
  <c r="S43" i="4"/>
  <c r="T43" i="4"/>
  <c r="U43" i="4"/>
  <c r="V43" i="4"/>
  <c r="A44" i="4"/>
  <c r="B44" i="4"/>
  <c r="C44" i="4"/>
  <c r="D44" i="4"/>
  <c r="E44" i="4"/>
  <c r="F44" i="4"/>
  <c r="G44" i="4"/>
  <c r="H44" i="4"/>
  <c r="I44" i="4"/>
  <c r="J44" i="4"/>
  <c r="K44" i="4"/>
  <c r="M44" i="4"/>
  <c r="N44" i="4"/>
  <c r="O44" i="4"/>
  <c r="P44" i="4"/>
  <c r="Q44" i="4"/>
  <c r="R44" i="4"/>
  <c r="S44" i="4"/>
  <c r="T44" i="4"/>
  <c r="U44" i="4"/>
  <c r="V44" i="4"/>
  <c r="A45" i="4"/>
  <c r="B45" i="4"/>
  <c r="C45" i="4"/>
  <c r="D45" i="4"/>
  <c r="E45" i="4"/>
  <c r="F45" i="4"/>
  <c r="G45" i="4"/>
  <c r="H45" i="4"/>
  <c r="I45" i="4"/>
  <c r="J45" i="4"/>
  <c r="K45" i="4"/>
  <c r="M45" i="4"/>
  <c r="N45" i="4"/>
  <c r="O45" i="4"/>
  <c r="P45" i="4"/>
  <c r="Q45" i="4"/>
  <c r="R45" i="4"/>
  <c r="S45" i="4"/>
  <c r="T45" i="4"/>
  <c r="U45" i="4"/>
  <c r="V45" i="4"/>
  <c r="A46" i="4"/>
  <c r="B46" i="4"/>
  <c r="C46" i="4"/>
  <c r="D46" i="4"/>
  <c r="E46" i="4"/>
  <c r="F46" i="4"/>
  <c r="G46" i="4"/>
  <c r="H46" i="4"/>
  <c r="I46" i="4"/>
  <c r="J46" i="4"/>
  <c r="K46" i="4"/>
  <c r="M46" i="4"/>
  <c r="N46" i="4"/>
  <c r="O46" i="4"/>
  <c r="P46" i="4"/>
  <c r="Q46" i="4"/>
  <c r="R46" i="4"/>
  <c r="S46" i="4"/>
  <c r="T46" i="4"/>
  <c r="U46" i="4"/>
  <c r="V46" i="4"/>
  <c r="A47" i="4"/>
  <c r="B47" i="4"/>
  <c r="C47" i="4"/>
  <c r="D47" i="4"/>
  <c r="E47" i="4"/>
  <c r="F47" i="4"/>
  <c r="G47" i="4"/>
  <c r="H47" i="4"/>
  <c r="I47" i="4"/>
  <c r="J47" i="4"/>
  <c r="K47" i="4"/>
  <c r="M47" i="4"/>
  <c r="N47" i="4"/>
  <c r="O47" i="4"/>
  <c r="P47" i="4"/>
  <c r="Q47" i="4"/>
  <c r="R47" i="4"/>
  <c r="S47" i="4"/>
  <c r="T47" i="4"/>
  <c r="U47" i="4"/>
  <c r="V47" i="4"/>
  <c r="A48" i="4"/>
  <c r="B48" i="4"/>
  <c r="C48" i="4"/>
  <c r="D48" i="4"/>
  <c r="E48" i="4"/>
  <c r="F48" i="4"/>
  <c r="G48" i="4"/>
  <c r="H48" i="4"/>
  <c r="I48" i="4"/>
  <c r="J48" i="4"/>
  <c r="K48" i="4"/>
  <c r="M48" i="4"/>
  <c r="N48" i="4"/>
  <c r="O48" i="4"/>
  <c r="P48" i="4"/>
  <c r="Q48" i="4"/>
  <c r="R48" i="4"/>
  <c r="S48" i="4"/>
  <c r="T48" i="4"/>
  <c r="U48" i="4"/>
  <c r="V48" i="4"/>
  <c r="A49" i="4"/>
  <c r="B49" i="4"/>
  <c r="C49" i="4"/>
  <c r="D49" i="4"/>
  <c r="E49" i="4"/>
  <c r="F49" i="4"/>
  <c r="G49" i="4"/>
  <c r="H49" i="4"/>
  <c r="I49" i="4"/>
  <c r="J49" i="4"/>
  <c r="K49" i="4"/>
  <c r="M49" i="4"/>
  <c r="N49" i="4"/>
  <c r="O49" i="4"/>
  <c r="P49" i="4"/>
  <c r="Q49" i="4"/>
  <c r="R49" i="4"/>
  <c r="S49" i="4"/>
  <c r="T49" i="4"/>
  <c r="U49" i="4"/>
  <c r="V49" i="4"/>
  <c r="A50" i="4"/>
  <c r="B50" i="4"/>
  <c r="C50" i="4"/>
  <c r="D50" i="4"/>
  <c r="E50" i="4"/>
  <c r="F50" i="4"/>
  <c r="G50" i="4"/>
  <c r="H50" i="4"/>
  <c r="I50" i="4"/>
  <c r="J50" i="4"/>
  <c r="K50" i="4"/>
  <c r="M50" i="4"/>
  <c r="N50" i="4"/>
  <c r="O50" i="4"/>
  <c r="P50" i="4"/>
  <c r="Q50" i="4"/>
  <c r="R50" i="4"/>
  <c r="S50" i="4"/>
  <c r="T50" i="4"/>
  <c r="U50" i="4"/>
  <c r="V50" i="4"/>
  <c r="A51" i="4"/>
  <c r="B51" i="4"/>
  <c r="C51" i="4"/>
  <c r="D51" i="4"/>
  <c r="E51" i="4"/>
  <c r="F51" i="4"/>
  <c r="G51" i="4"/>
  <c r="H51" i="4"/>
  <c r="I51" i="4"/>
  <c r="J51" i="4"/>
  <c r="K51" i="4"/>
  <c r="M51" i="4"/>
  <c r="N51" i="4"/>
  <c r="O51" i="4"/>
  <c r="P51" i="4"/>
  <c r="Q51" i="4"/>
  <c r="R51" i="4"/>
  <c r="S51" i="4"/>
  <c r="T51" i="4"/>
  <c r="U51" i="4"/>
  <c r="V51" i="4"/>
  <c r="A52" i="4"/>
  <c r="B52" i="4"/>
  <c r="C52" i="4"/>
  <c r="D52" i="4"/>
  <c r="E52" i="4"/>
  <c r="F52" i="4"/>
  <c r="G52" i="4"/>
  <c r="H52" i="4"/>
  <c r="I52" i="4"/>
  <c r="J52" i="4"/>
  <c r="K52" i="4"/>
  <c r="M52" i="4"/>
  <c r="N52" i="4"/>
  <c r="O52" i="4"/>
  <c r="P52" i="4"/>
  <c r="Q52" i="4"/>
  <c r="R52" i="4"/>
  <c r="S52" i="4"/>
  <c r="T52" i="4"/>
  <c r="U52" i="4"/>
  <c r="V52" i="4"/>
  <c r="A53" i="4"/>
  <c r="B53" i="4"/>
  <c r="C53" i="4"/>
  <c r="D53" i="4"/>
  <c r="E53" i="4"/>
  <c r="F53" i="4"/>
  <c r="G53" i="4"/>
  <c r="H53" i="4"/>
  <c r="I53" i="4"/>
  <c r="J53" i="4"/>
  <c r="K53" i="4"/>
  <c r="M53" i="4"/>
  <c r="O53" i="4"/>
  <c r="P53" i="4"/>
  <c r="Q53" i="4"/>
  <c r="R53" i="4"/>
  <c r="S53" i="4"/>
  <c r="T53" i="4"/>
  <c r="U53" i="4"/>
  <c r="V53" i="4"/>
  <c r="A54" i="4"/>
  <c r="B54" i="4"/>
  <c r="C54" i="4"/>
  <c r="D54" i="4"/>
  <c r="E54" i="4"/>
  <c r="F54" i="4"/>
  <c r="G54" i="4"/>
  <c r="H54" i="4"/>
  <c r="I54" i="4"/>
  <c r="J54" i="4"/>
  <c r="K54" i="4"/>
  <c r="M54" i="4"/>
  <c r="N54" i="4"/>
  <c r="O54" i="4"/>
  <c r="P54" i="4"/>
  <c r="Q54" i="4"/>
  <c r="R54" i="4"/>
  <c r="S54" i="4"/>
  <c r="T54" i="4"/>
  <c r="U54" i="4"/>
  <c r="V54" i="4"/>
  <c r="A55" i="4"/>
  <c r="B55" i="4"/>
  <c r="C55" i="4"/>
  <c r="D55" i="4"/>
  <c r="E55" i="4"/>
  <c r="F55" i="4"/>
  <c r="G55" i="4"/>
  <c r="H55" i="4"/>
  <c r="I55" i="4"/>
  <c r="J55" i="4"/>
  <c r="K55" i="4"/>
  <c r="M55" i="4"/>
  <c r="O55" i="4"/>
  <c r="P55" i="4"/>
  <c r="Q55" i="4"/>
  <c r="R55" i="4"/>
  <c r="S55" i="4"/>
  <c r="T55" i="4"/>
  <c r="U55" i="4"/>
  <c r="V55" i="4"/>
  <c r="A56" i="4"/>
  <c r="B56" i="4"/>
  <c r="C56" i="4"/>
  <c r="D56" i="4"/>
  <c r="E56" i="4"/>
  <c r="F56" i="4"/>
  <c r="G56" i="4"/>
  <c r="H56" i="4"/>
  <c r="I56" i="4"/>
  <c r="J56" i="4"/>
  <c r="K56" i="4"/>
  <c r="M56" i="4"/>
  <c r="N56" i="4"/>
  <c r="O56" i="4"/>
  <c r="P56" i="4"/>
  <c r="Q56" i="4"/>
  <c r="R56" i="4"/>
  <c r="S56" i="4"/>
  <c r="T56" i="4"/>
  <c r="U56" i="4"/>
  <c r="V56" i="4"/>
  <c r="A57" i="4"/>
  <c r="B57" i="4"/>
  <c r="C57" i="4"/>
  <c r="D57" i="4"/>
  <c r="E57" i="4"/>
  <c r="F57" i="4"/>
  <c r="G57" i="4"/>
  <c r="H57" i="4"/>
  <c r="I57" i="4"/>
  <c r="J57" i="4"/>
  <c r="K57" i="4"/>
  <c r="M57" i="4"/>
  <c r="N57" i="4"/>
  <c r="O57" i="4"/>
  <c r="P57" i="4"/>
  <c r="Q57" i="4"/>
  <c r="R57" i="4"/>
  <c r="S57" i="4"/>
  <c r="T57" i="4"/>
  <c r="U57" i="4"/>
  <c r="V57" i="4"/>
  <c r="A58" i="4"/>
  <c r="B58" i="4"/>
  <c r="C58" i="4"/>
  <c r="D58" i="4"/>
  <c r="E58" i="4"/>
  <c r="F58" i="4"/>
  <c r="G58" i="4"/>
  <c r="H58" i="4"/>
  <c r="I58" i="4"/>
  <c r="J58" i="4"/>
  <c r="K58" i="4"/>
  <c r="M58" i="4"/>
  <c r="N58" i="4"/>
  <c r="O58" i="4"/>
  <c r="P58" i="4"/>
  <c r="Q58" i="4"/>
  <c r="R58" i="4"/>
  <c r="S58" i="4"/>
  <c r="T58" i="4"/>
  <c r="U58" i="4"/>
  <c r="V58" i="4"/>
  <c r="A59" i="4"/>
  <c r="B59" i="4"/>
  <c r="C59" i="4"/>
  <c r="D59" i="4"/>
  <c r="E59" i="4"/>
  <c r="F59" i="4"/>
  <c r="G59" i="4"/>
  <c r="H59" i="4"/>
  <c r="I59" i="4"/>
  <c r="J59" i="4"/>
  <c r="K59" i="4"/>
  <c r="M59" i="4"/>
  <c r="N59" i="4"/>
  <c r="O59" i="4"/>
  <c r="P59" i="4"/>
  <c r="Q59" i="4"/>
  <c r="R59" i="4"/>
  <c r="S59" i="4"/>
  <c r="T59" i="4"/>
  <c r="U59" i="4"/>
  <c r="V59" i="4"/>
  <c r="A60" i="4"/>
  <c r="B60" i="4"/>
  <c r="C60" i="4"/>
  <c r="D60" i="4"/>
  <c r="E60" i="4"/>
  <c r="F60" i="4"/>
  <c r="G60" i="4"/>
  <c r="H60" i="4"/>
  <c r="I60" i="4"/>
  <c r="J60" i="4"/>
  <c r="K60" i="4"/>
  <c r="M60" i="4"/>
  <c r="N60" i="4"/>
  <c r="O60" i="4"/>
  <c r="P60" i="4"/>
  <c r="Q60" i="4"/>
  <c r="R60" i="4"/>
  <c r="S60" i="4"/>
  <c r="T60" i="4"/>
  <c r="U60" i="4"/>
  <c r="V60" i="4"/>
  <c r="A61" i="4"/>
  <c r="B61" i="4"/>
  <c r="C61" i="4"/>
  <c r="D61" i="4"/>
  <c r="E61" i="4"/>
  <c r="F61" i="4"/>
  <c r="G61" i="4"/>
  <c r="H61" i="4"/>
  <c r="I61" i="4"/>
  <c r="J61" i="4"/>
  <c r="K61" i="4"/>
  <c r="M61" i="4"/>
  <c r="N61" i="4"/>
  <c r="O61" i="4"/>
  <c r="P61" i="4"/>
  <c r="Q61" i="4"/>
  <c r="R61" i="4"/>
  <c r="S61" i="4"/>
  <c r="T61" i="4"/>
  <c r="U61" i="4"/>
  <c r="V61" i="4"/>
  <c r="A62" i="4"/>
  <c r="B62" i="4"/>
  <c r="C62" i="4"/>
  <c r="D62" i="4"/>
  <c r="E62" i="4"/>
  <c r="F62" i="4"/>
  <c r="G62" i="4"/>
  <c r="H62" i="4"/>
  <c r="I62" i="4"/>
  <c r="J62" i="4"/>
  <c r="K62" i="4"/>
  <c r="M62" i="4"/>
  <c r="N62" i="4"/>
  <c r="O62" i="4"/>
  <c r="P62" i="4"/>
  <c r="Q62" i="4"/>
  <c r="R62" i="4"/>
  <c r="S62" i="4"/>
  <c r="T62" i="4"/>
  <c r="U62" i="4"/>
  <c r="V62" i="4"/>
  <c r="A63" i="4"/>
  <c r="B63" i="4"/>
  <c r="C63" i="4"/>
  <c r="D63" i="4"/>
  <c r="E63" i="4"/>
  <c r="F63" i="4"/>
  <c r="G63" i="4"/>
  <c r="H63" i="4"/>
  <c r="I63" i="4"/>
  <c r="J63" i="4"/>
  <c r="K63" i="4"/>
  <c r="N63" i="4"/>
  <c r="O63" i="4"/>
  <c r="P63" i="4"/>
  <c r="Q63" i="4"/>
  <c r="R63" i="4"/>
  <c r="S63" i="4"/>
  <c r="T63" i="4"/>
  <c r="U63" i="4"/>
  <c r="V63" i="4"/>
  <c r="A64" i="4"/>
  <c r="B64" i="4"/>
  <c r="C64" i="4"/>
  <c r="D64" i="4"/>
  <c r="E64" i="4"/>
  <c r="F64" i="4"/>
  <c r="G64" i="4"/>
  <c r="H64" i="4"/>
  <c r="I64" i="4"/>
  <c r="J64" i="4"/>
  <c r="K64" i="4"/>
  <c r="M64" i="4"/>
  <c r="N64" i="4"/>
  <c r="O64" i="4"/>
  <c r="P64" i="4"/>
  <c r="Q64" i="4"/>
  <c r="R64" i="4"/>
  <c r="S64" i="4"/>
  <c r="T64" i="4"/>
  <c r="U64" i="4"/>
  <c r="V64" i="4"/>
  <c r="A65" i="4"/>
  <c r="B65" i="4"/>
  <c r="C65" i="4"/>
  <c r="D65" i="4"/>
  <c r="E65" i="4"/>
  <c r="F65" i="4"/>
  <c r="G65" i="4"/>
  <c r="H65" i="4"/>
  <c r="I65" i="4"/>
  <c r="J65" i="4"/>
  <c r="K65" i="4"/>
  <c r="M65" i="4"/>
  <c r="N65" i="4"/>
  <c r="O65" i="4"/>
  <c r="P65" i="4"/>
  <c r="Q65" i="4"/>
  <c r="R65" i="4"/>
  <c r="S65" i="4"/>
  <c r="T65" i="4"/>
  <c r="U65" i="4"/>
  <c r="V65" i="4"/>
  <c r="A66" i="4"/>
  <c r="B66" i="4"/>
  <c r="C66" i="4"/>
  <c r="D66" i="4"/>
  <c r="E66" i="4"/>
  <c r="F66" i="4"/>
  <c r="G66" i="4"/>
  <c r="H66" i="4"/>
  <c r="I66" i="4"/>
  <c r="J66" i="4"/>
  <c r="K66" i="4"/>
  <c r="M66" i="4"/>
  <c r="O66" i="4"/>
  <c r="P66" i="4"/>
  <c r="Q66" i="4"/>
  <c r="R66" i="4"/>
  <c r="S66" i="4"/>
  <c r="T66" i="4"/>
  <c r="U66" i="4"/>
  <c r="V66" i="4"/>
  <c r="A67" i="4"/>
  <c r="B67" i="4"/>
  <c r="C67" i="4"/>
  <c r="D67" i="4"/>
  <c r="E67" i="4"/>
  <c r="F67" i="4"/>
  <c r="G67" i="4"/>
  <c r="H67" i="4"/>
  <c r="I67" i="4"/>
  <c r="J67" i="4"/>
  <c r="K67" i="4"/>
  <c r="M67" i="4"/>
  <c r="N67" i="4"/>
  <c r="O67" i="4"/>
  <c r="P67" i="4"/>
  <c r="Q67" i="4"/>
  <c r="R67" i="4"/>
  <c r="S67" i="4"/>
  <c r="T67" i="4"/>
  <c r="U67" i="4"/>
  <c r="V67" i="4"/>
  <c r="A68" i="4"/>
  <c r="B68" i="4"/>
  <c r="C68" i="4"/>
  <c r="D68" i="4"/>
  <c r="E68" i="4"/>
  <c r="F68" i="4"/>
  <c r="G68" i="4"/>
  <c r="H68" i="4"/>
  <c r="I68" i="4"/>
  <c r="J68" i="4"/>
  <c r="K68" i="4"/>
  <c r="M68" i="4"/>
  <c r="O68" i="4"/>
  <c r="P68" i="4"/>
  <c r="Q68" i="4"/>
  <c r="R68" i="4"/>
  <c r="S68" i="4"/>
  <c r="T68" i="4"/>
  <c r="U68" i="4"/>
  <c r="V68" i="4"/>
  <c r="A69" i="4"/>
  <c r="B69" i="4"/>
  <c r="C69" i="4"/>
  <c r="D69" i="4"/>
  <c r="E69" i="4"/>
  <c r="F69" i="4"/>
  <c r="G69" i="4"/>
  <c r="H69" i="4"/>
  <c r="I69" i="4"/>
  <c r="J69" i="4"/>
  <c r="K69" i="4"/>
  <c r="M69" i="4"/>
  <c r="N69" i="4"/>
  <c r="O69" i="4"/>
  <c r="P69" i="4"/>
  <c r="Q69" i="4"/>
  <c r="R69" i="4"/>
  <c r="S69" i="4"/>
  <c r="T69" i="4"/>
  <c r="U69" i="4"/>
  <c r="V69" i="4"/>
  <c r="A70" i="4"/>
  <c r="B70" i="4"/>
  <c r="C70" i="4"/>
  <c r="D70" i="4"/>
  <c r="E70" i="4"/>
  <c r="F70" i="4"/>
  <c r="G70" i="4"/>
  <c r="H70" i="4"/>
  <c r="I70" i="4"/>
  <c r="J70" i="4"/>
  <c r="K70" i="4"/>
  <c r="M70" i="4"/>
  <c r="N70" i="4"/>
  <c r="O70" i="4"/>
  <c r="P70" i="4"/>
  <c r="Q70" i="4"/>
  <c r="R70" i="4"/>
  <c r="S70" i="4"/>
  <c r="T70" i="4"/>
  <c r="U70" i="4"/>
  <c r="V70" i="4"/>
  <c r="A71" i="4"/>
  <c r="B71" i="4"/>
  <c r="C71" i="4"/>
  <c r="D71" i="4"/>
  <c r="E71" i="4"/>
  <c r="F71" i="4"/>
  <c r="G71" i="4"/>
  <c r="H71" i="4"/>
  <c r="I71" i="4"/>
  <c r="J71" i="4"/>
  <c r="K71" i="4"/>
  <c r="M71" i="4"/>
  <c r="N71" i="4"/>
  <c r="O71" i="4"/>
  <c r="P71" i="4"/>
  <c r="Q71" i="4"/>
  <c r="R71" i="4"/>
  <c r="S71" i="4"/>
  <c r="T71" i="4"/>
  <c r="U71" i="4"/>
  <c r="V71" i="4"/>
  <c r="A72" i="4"/>
  <c r="B72" i="4"/>
  <c r="C72" i="4"/>
  <c r="D72" i="4"/>
  <c r="E72" i="4"/>
  <c r="F72" i="4"/>
  <c r="G72" i="4"/>
  <c r="H72" i="4"/>
  <c r="I72" i="4"/>
  <c r="J72" i="4"/>
  <c r="K72" i="4"/>
  <c r="M72" i="4"/>
  <c r="N72" i="4"/>
  <c r="O72" i="4"/>
  <c r="P72" i="4"/>
  <c r="Q72" i="4"/>
  <c r="R72" i="4"/>
  <c r="S72" i="4"/>
  <c r="T72" i="4"/>
  <c r="U72" i="4"/>
  <c r="V72" i="4"/>
  <c r="A73" i="4"/>
  <c r="B73" i="4"/>
  <c r="C73" i="4"/>
  <c r="D73" i="4"/>
  <c r="E73" i="4"/>
  <c r="F73" i="4"/>
  <c r="G73" i="4"/>
  <c r="H73" i="4"/>
  <c r="I73" i="4"/>
  <c r="J73" i="4"/>
  <c r="K73" i="4"/>
  <c r="M73" i="4"/>
  <c r="N73" i="4"/>
  <c r="O73" i="4"/>
  <c r="P73" i="4"/>
  <c r="Q73" i="4"/>
  <c r="R73" i="4"/>
  <c r="S73" i="4"/>
  <c r="T73" i="4"/>
  <c r="U73" i="4"/>
  <c r="V73" i="4"/>
  <c r="A74" i="4"/>
  <c r="B74" i="4"/>
  <c r="C74" i="4"/>
  <c r="D74" i="4"/>
  <c r="E74" i="4"/>
  <c r="F74" i="4"/>
  <c r="G74" i="4"/>
  <c r="H74" i="4"/>
  <c r="I74" i="4"/>
  <c r="J74" i="4"/>
  <c r="K74" i="4"/>
  <c r="M74" i="4"/>
  <c r="N74" i="4"/>
  <c r="O74" i="4"/>
  <c r="P74" i="4"/>
  <c r="Q74" i="4"/>
  <c r="R74" i="4"/>
  <c r="S74" i="4"/>
  <c r="T74" i="4"/>
  <c r="U74" i="4"/>
  <c r="V74" i="4"/>
  <c r="A75" i="4"/>
  <c r="B75" i="4"/>
  <c r="C75" i="4"/>
  <c r="D75" i="4"/>
  <c r="E75" i="4"/>
  <c r="F75" i="4"/>
  <c r="G75" i="4"/>
  <c r="H75" i="4"/>
  <c r="I75" i="4"/>
  <c r="J75" i="4"/>
  <c r="K75" i="4"/>
  <c r="M75" i="4"/>
  <c r="N75" i="4"/>
  <c r="O75" i="4"/>
  <c r="P75" i="4"/>
  <c r="Q75" i="4"/>
  <c r="R75" i="4"/>
  <c r="S75" i="4"/>
  <c r="T75" i="4"/>
  <c r="U75" i="4"/>
  <c r="V75" i="4"/>
  <c r="A76" i="4"/>
  <c r="B76" i="4"/>
  <c r="C76" i="4"/>
  <c r="D76" i="4"/>
  <c r="E76" i="4"/>
  <c r="F76" i="4"/>
  <c r="G76" i="4"/>
  <c r="H76" i="4"/>
  <c r="I76" i="4"/>
  <c r="J76" i="4"/>
  <c r="K76" i="4"/>
  <c r="M76" i="4"/>
  <c r="N76" i="4"/>
  <c r="O76" i="4"/>
  <c r="P76" i="4"/>
  <c r="Q76" i="4"/>
  <c r="R76" i="4"/>
  <c r="S76" i="4"/>
  <c r="T76" i="4"/>
  <c r="U76" i="4"/>
  <c r="V76" i="4"/>
  <c r="A77" i="4"/>
  <c r="B77" i="4"/>
  <c r="C77" i="4"/>
  <c r="D77" i="4"/>
  <c r="E77" i="4"/>
  <c r="F77" i="4"/>
  <c r="G77" i="4"/>
  <c r="H77" i="4"/>
  <c r="I77" i="4"/>
  <c r="J77" i="4"/>
  <c r="K77" i="4"/>
  <c r="M77" i="4"/>
  <c r="N77" i="4"/>
  <c r="O77" i="4"/>
  <c r="P77" i="4"/>
  <c r="Q77" i="4"/>
  <c r="R77" i="4"/>
  <c r="S77" i="4"/>
  <c r="T77" i="4"/>
  <c r="U77" i="4"/>
  <c r="V77" i="4"/>
  <c r="A78" i="4"/>
  <c r="B78" i="4"/>
  <c r="C78" i="4"/>
  <c r="D78" i="4"/>
  <c r="E78" i="4"/>
  <c r="F78" i="4"/>
  <c r="G78" i="4"/>
  <c r="H78" i="4"/>
  <c r="I78" i="4"/>
  <c r="J78" i="4"/>
  <c r="K78" i="4"/>
  <c r="M78" i="4"/>
  <c r="N78" i="4"/>
  <c r="O78" i="4"/>
  <c r="P78" i="4"/>
  <c r="Q78" i="4"/>
  <c r="R78" i="4"/>
  <c r="S78" i="4"/>
  <c r="T78" i="4"/>
  <c r="U78" i="4"/>
  <c r="V78" i="4"/>
  <c r="A79" i="4"/>
  <c r="B79" i="4"/>
  <c r="C79" i="4"/>
  <c r="D79" i="4"/>
  <c r="E79" i="4"/>
  <c r="F79" i="4"/>
  <c r="G79" i="4"/>
  <c r="H79" i="4"/>
  <c r="I79" i="4"/>
  <c r="J79" i="4"/>
  <c r="K79" i="4"/>
  <c r="M79" i="4"/>
  <c r="N79" i="4"/>
  <c r="O79" i="4"/>
  <c r="P79" i="4"/>
  <c r="Q79" i="4"/>
  <c r="R79" i="4"/>
  <c r="S79" i="4"/>
  <c r="T79" i="4"/>
  <c r="U79" i="4"/>
  <c r="V79" i="4"/>
  <c r="A82" i="4"/>
  <c r="B82" i="4"/>
  <c r="C82" i="4"/>
  <c r="D82" i="4"/>
  <c r="E82" i="4"/>
  <c r="F82" i="4"/>
  <c r="G82" i="4"/>
  <c r="H82" i="4"/>
  <c r="I82" i="4"/>
  <c r="J82" i="4"/>
  <c r="K82" i="4"/>
  <c r="M82" i="4"/>
  <c r="N82" i="4"/>
  <c r="O82" i="4"/>
  <c r="P82" i="4"/>
  <c r="Q82" i="4"/>
  <c r="R82" i="4"/>
  <c r="S82" i="4"/>
  <c r="T82" i="4"/>
  <c r="U82" i="4"/>
  <c r="V82" i="4"/>
  <c r="A80" i="4"/>
  <c r="B80" i="4"/>
  <c r="C80" i="4"/>
  <c r="D80" i="4"/>
  <c r="E80" i="4"/>
  <c r="F80" i="4"/>
  <c r="G80" i="4"/>
  <c r="H80" i="4"/>
  <c r="I80" i="4"/>
  <c r="J80" i="4"/>
  <c r="K80" i="4"/>
  <c r="M80" i="4"/>
  <c r="N80" i="4"/>
  <c r="O80" i="4"/>
  <c r="P80" i="4"/>
  <c r="Q80" i="4"/>
  <c r="R80" i="4"/>
  <c r="S80" i="4"/>
  <c r="T80" i="4"/>
  <c r="U80" i="4"/>
  <c r="V80" i="4"/>
  <c r="A81" i="4"/>
  <c r="B81" i="4"/>
  <c r="C81" i="4"/>
  <c r="D81" i="4"/>
  <c r="E81" i="4"/>
  <c r="F81" i="4"/>
  <c r="G81" i="4"/>
  <c r="H81" i="4"/>
  <c r="I81" i="4"/>
  <c r="J81" i="4"/>
  <c r="K81" i="4"/>
  <c r="M81" i="4"/>
  <c r="N81" i="4"/>
  <c r="O81" i="4"/>
  <c r="P81" i="4"/>
  <c r="Q81" i="4"/>
  <c r="R81" i="4"/>
  <c r="S81" i="4"/>
  <c r="T81" i="4"/>
  <c r="U81" i="4"/>
  <c r="V81" i="4"/>
  <c r="B83" i="4"/>
  <c r="C83" i="4"/>
  <c r="D83" i="4"/>
  <c r="E83" i="4"/>
  <c r="F83" i="4"/>
  <c r="G83" i="4"/>
  <c r="H83" i="4"/>
  <c r="I83" i="4"/>
  <c r="J83" i="4"/>
  <c r="K83" i="4"/>
  <c r="M83" i="4"/>
  <c r="N83" i="4"/>
  <c r="O83" i="4"/>
  <c r="P83" i="4"/>
  <c r="Q83" i="4"/>
  <c r="R83" i="4"/>
  <c r="S83" i="4"/>
  <c r="T83" i="4"/>
  <c r="U83" i="4"/>
  <c r="V83" i="4"/>
  <c r="A84" i="4"/>
  <c r="B84" i="4"/>
  <c r="C84" i="4"/>
  <c r="D84" i="4"/>
  <c r="E84" i="4"/>
  <c r="F84" i="4"/>
  <c r="G84" i="4"/>
  <c r="H84" i="4"/>
  <c r="I84" i="4"/>
  <c r="J84" i="4"/>
  <c r="K84" i="4"/>
  <c r="M84" i="4"/>
  <c r="N84" i="4"/>
  <c r="O84" i="4"/>
  <c r="P84" i="4"/>
  <c r="Q84" i="4"/>
  <c r="R84" i="4"/>
  <c r="S84" i="4"/>
  <c r="T84" i="4"/>
  <c r="U84" i="4"/>
  <c r="V84" i="4"/>
  <c r="A85" i="4"/>
  <c r="B85" i="4"/>
  <c r="C85" i="4"/>
  <c r="D85" i="4"/>
  <c r="E85" i="4"/>
  <c r="F85" i="4"/>
  <c r="G85" i="4"/>
  <c r="H85" i="4"/>
  <c r="I85" i="4"/>
  <c r="J85" i="4"/>
  <c r="K85" i="4"/>
  <c r="M85" i="4"/>
  <c r="N85" i="4"/>
  <c r="O85" i="4"/>
  <c r="P85" i="4"/>
  <c r="Q85" i="4"/>
  <c r="R85" i="4"/>
  <c r="S85" i="4"/>
  <c r="T85" i="4"/>
  <c r="U85" i="4"/>
  <c r="V85" i="4"/>
  <c r="A86" i="4"/>
  <c r="B86" i="4"/>
  <c r="C86" i="4"/>
  <c r="D86" i="4"/>
  <c r="E86" i="4"/>
  <c r="F86" i="4"/>
  <c r="G86" i="4"/>
  <c r="H86" i="4"/>
  <c r="I86" i="4"/>
  <c r="J86" i="4"/>
  <c r="K86" i="4"/>
  <c r="M86" i="4"/>
  <c r="N86" i="4"/>
  <c r="O86" i="4"/>
  <c r="P86" i="4"/>
  <c r="Q86" i="4"/>
  <c r="R86" i="4"/>
  <c r="S86" i="4"/>
  <c r="T86" i="4"/>
  <c r="U86" i="4"/>
  <c r="V86" i="4"/>
  <c r="A87" i="4"/>
  <c r="B87" i="4"/>
  <c r="C87" i="4"/>
  <c r="D87" i="4"/>
  <c r="E87" i="4"/>
  <c r="F87" i="4"/>
  <c r="G87" i="4"/>
  <c r="H87" i="4"/>
  <c r="I87" i="4"/>
  <c r="J87" i="4"/>
  <c r="K87" i="4"/>
  <c r="M87" i="4"/>
  <c r="N87" i="4"/>
  <c r="O87" i="4"/>
  <c r="P87" i="4"/>
  <c r="Q87" i="4"/>
  <c r="R87" i="4"/>
  <c r="S87" i="4"/>
  <c r="T87" i="4"/>
  <c r="U87" i="4"/>
  <c r="V87" i="4"/>
  <c r="A88" i="4"/>
  <c r="B88" i="4"/>
  <c r="C88" i="4"/>
  <c r="D88" i="4"/>
  <c r="E88" i="4"/>
  <c r="F88" i="4"/>
  <c r="G88" i="4"/>
  <c r="H88" i="4"/>
  <c r="I88" i="4"/>
  <c r="J88" i="4"/>
  <c r="K88" i="4"/>
  <c r="M88" i="4"/>
  <c r="N88" i="4"/>
  <c r="O88" i="4"/>
  <c r="P88" i="4"/>
  <c r="Q88" i="4"/>
  <c r="R88" i="4"/>
  <c r="S88" i="4"/>
  <c r="T88" i="4"/>
  <c r="U88" i="4"/>
  <c r="V88" i="4"/>
  <c r="A89" i="4"/>
  <c r="B89" i="4"/>
  <c r="C89" i="4"/>
  <c r="D89" i="4"/>
  <c r="E89" i="4"/>
  <c r="F89" i="4"/>
  <c r="G89" i="4"/>
  <c r="H89" i="4"/>
  <c r="I89" i="4"/>
  <c r="J89" i="4"/>
  <c r="K89" i="4"/>
  <c r="M89" i="4"/>
  <c r="N89" i="4"/>
  <c r="O89" i="4"/>
  <c r="P89" i="4"/>
  <c r="Q89" i="4"/>
  <c r="R89" i="4"/>
  <c r="S89" i="4"/>
  <c r="T89" i="4"/>
  <c r="U89" i="4"/>
  <c r="V89" i="4"/>
  <c r="A91" i="4"/>
  <c r="B91" i="4"/>
  <c r="C91" i="4"/>
  <c r="D91" i="4"/>
  <c r="E91" i="4"/>
  <c r="F91" i="4"/>
  <c r="G91" i="4"/>
  <c r="H91" i="4"/>
  <c r="I91" i="4"/>
  <c r="J91" i="4"/>
  <c r="K91" i="4"/>
  <c r="M91" i="4"/>
  <c r="N91" i="4"/>
  <c r="O91" i="4"/>
  <c r="P91" i="4"/>
  <c r="Q91" i="4"/>
  <c r="R91" i="4"/>
  <c r="S91" i="4"/>
  <c r="T91" i="4"/>
  <c r="U91" i="4"/>
  <c r="V91" i="4"/>
  <c r="A90" i="4"/>
  <c r="B90" i="4"/>
  <c r="C90" i="4"/>
  <c r="D90" i="4"/>
  <c r="E90" i="4"/>
  <c r="F90" i="4"/>
  <c r="G90" i="4"/>
  <c r="H90" i="4"/>
  <c r="I90" i="4"/>
  <c r="J90" i="4"/>
  <c r="K90" i="4"/>
  <c r="M90" i="4"/>
  <c r="N90" i="4"/>
  <c r="O90" i="4"/>
  <c r="P90" i="4"/>
  <c r="Q90" i="4"/>
  <c r="R90" i="4"/>
  <c r="S90" i="4"/>
  <c r="T90" i="4"/>
  <c r="U90" i="4"/>
  <c r="V90" i="4"/>
  <c r="A92" i="4"/>
  <c r="B92" i="4"/>
  <c r="C92" i="4"/>
  <c r="D92" i="4"/>
  <c r="E92" i="4"/>
  <c r="F92" i="4"/>
  <c r="G92" i="4"/>
  <c r="H92" i="4"/>
  <c r="I92" i="4"/>
  <c r="J92" i="4"/>
  <c r="K92" i="4"/>
  <c r="M92" i="4"/>
  <c r="N92" i="4"/>
  <c r="O92" i="4"/>
  <c r="P92" i="4"/>
  <c r="Q92" i="4"/>
  <c r="R92" i="4"/>
  <c r="S92" i="4"/>
  <c r="T92" i="4"/>
  <c r="U92" i="4"/>
  <c r="V92" i="4"/>
  <c r="A93" i="4"/>
  <c r="B93" i="4"/>
  <c r="C93" i="4"/>
  <c r="D93" i="4"/>
  <c r="E93" i="4"/>
  <c r="F93" i="4"/>
  <c r="G93" i="4"/>
  <c r="H93" i="4"/>
  <c r="I93" i="4"/>
  <c r="J93" i="4"/>
  <c r="K93" i="4"/>
  <c r="L93" i="4"/>
  <c r="M93" i="4"/>
  <c r="N93" i="4"/>
  <c r="O93" i="4"/>
  <c r="P93" i="4"/>
  <c r="Q93" i="4"/>
  <c r="R93" i="4"/>
  <c r="S93" i="4"/>
  <c r="T93" i="4"/>
  <c r="U93" i="4"/>
  <c r="V93" i="4"/>
  <c r="B2" i="4"/>
  <c r="C2" i="4"/>
  <c r="D2" i="4"/>
  <c r="E2" i="4"/>
  <c r="F2" i="4"/>
  <c r="G2" i="4"/>
  <c r="H2" i="4"/>
  <c r="I2" i="4"/>
  <c r="J2" i="4"/>
  <c r="K2" i="4"/>
  <c r="M2" i="4"/>
  <c r="N2" i="4"/>
  <c r="O2" i="4"/>
  <c r="P2" i="4"/>
  <c r="Q2" i="4"/>
  <c r="R2" i="4"/>
  <c r="S2" i="4"/>
  <c r="T2" i="4"/>
  <c r="U2" i="4"/>
  <c r="V2" i="4"/>
  <c r="A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8D8254-D079-40F3-A8D2-85EE6EF5A1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D78F926-E119-4538-A1BC-3D53CD2EDF96}" name="WorksheetConnection_รายงานข้อร้องเรียนลูกค้า (Customer Complain Report _ CC).xlsx!OfficeForms.Table" type="102" refreshedVersion="8" minRefreshableVersion="5">
    <extLst>
      <ext xmlns:x15="http://schemas.microsoft.com/office/spreadsheetml/2010/11/main" uri="{DE250136-89BD-433C-8126-D09CA5730AF9}">
        <x15:connection id="OfficeForms Table" autoDelete="1">
          <x15:rangePr sourceName="_xlcn.WorksheetConnection_รายงานข้อร้องเรียนลูกค้าCustomerComplainReport_CC.xlsxOfficeForms.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fficeForms Table].[สาขาที่เข้ารับบริการ].&amp;[สาขาเพชรเกษม]}"/>
  </metadataStrings>
  <mdxMetadata count="1">
    <mdx n="0" f="s">
      <ms ns="1" c="0"/>
    </mdx>
  </mdxMetadata>
  <valueMetadata count="1">
    <bk>
      <rc t="1" v="0"/>
    </bk>
  </valueMetadata>
</metadata>
</file>

<file path=xl/sharedStrings.xml><?xml version="1.0" encoding="utf-8"?>
<sst xmlns="http://schemas.openxmlformats.org/spreadsheetml/2006/main" count="2682" uniqueCount="1169">
  <si>
    <t>Id</t>
  </si>
  <si>
    <t>Start time</t>
  </si>
  <si>
    <t>Completion time</t>
  </si>
  <si>
    <t>Email</t>
  </si>
  <si>
    <t>Name</t>
  </si>
  <si>
    <t>สาขาที่เข้ารับบริการ</t>
  </si>
  <si>
    <t>วันที่เกิดเหตุ</t>
  </si>
  <si>
    <t>ชื่อสัตว์เลี้ยง หรือ HN สัตว์เลี้ยง</t>
  </si>
  <si>
    <t>ชื่อผู้ร้องเรียน</t>
  </si>
  <si>
    <t>เบอร์โทรศัพท์ผู้ร้องเรียน</t>
  </si>
  <si>
    <t>หน่วยงานที่ถูกร้องเรียน</t>
  </si>
  <si>
    <t>กระบวนการที่ถูก Complain</t>
  </si>
  <si>
    <t>รายละเอียดข้อร้องเรียน</t>
  </si>
  <si>
    <t>การแก้ไขเบื้องต้น (ถ้ามี)</t>
  </si>
  <si>
    <t>รหัสพนักงานผู้รายงาน (เพื่อสอบถามข้อมูลเพิ่มเติม)</t>
  </si>
  <si>
    <t>ชื่อพนักงานที่อยู่ในเหตุการณ์</t>
  </si>
  <si>
    <t>ต้องคืนเงิน/ Credit note ลูกค้าหรือไม่</t>
  </si>
  <si>
    <t>Invoice#/ Prepayment#</t>
  </si>
  <si>
    <t>วันที่รับเงิน</t>
  </si>
  <si>
    <t>ชำระโดย</t>
  </si>
  <si>
    <t>ต้อง Adjust หรือ คืนเงินลูกค้าทางช่องทางใด</t>
  </si>
  <si>
    <t>ชื่อรายการที่ต้องคืน และมูลค่า (รวม VAT)</t>
  </si>
  <si>
    <t>anonymous</t>
  </si>
  <si>
    <t>สาขาเชียงใหม่</t>
  </si>
  <si>
    <t>Peanut HN.7394</t>
  </si>
  <si>
    <t>Chue shwe yi anug</t>
  </si>
  <si>
    <t>0817159074</t>
  </si>
  <si>
    <t>ฝาก Hotel แล้วมีแผลที่จมูก (เคยมีแผลที่จมูกตอนมาฝากแล้ว 1 ครั้งก่อนหน้า) เจ้าของเห็นตอนรับกลับบ้านแล้ว โดยไม่มีการแจ้งจากทาง รพ ก่อน ว่าสุนัขมีแผลที่จมูก (มีรูปยืนยันวันมาส่งเข้า Hotel จมูกยังไม่มีแผล)</t>
  </si>
  <si>
    <t>กล่าวขอโทษ และเสนอส่งยาทาแผลให้ เจ้าของไม่ติดใจเอาความ ยังมียาเหลือที่เคยได้รับรอบก่อน จะลองทาดู</t>
  </si>
  <si>
    <t>1022</t>
  </si>
  <si>
    <t>0114 (ปาน รุ่งทิวา)</t>
  </si>
  <si>
    <t>สาขาเพชรเกษม</t>
  </si>
  <si>
    <t>11514</t>
  </si>
  <si>
    <t>สุทธิวาท สุวรรณกุลรัตน์</t>
  </si>
  <si>
    <t>0811425004</t>
  </si>
  <si>
    <t>เจ้าของccเรื่องtestkit felv fiv หมอท่านแรกแจ้งว่าความแม่นยำ 99% หมออีกคนมารับต่อคุยว่าจริงๆมันไม่99%(fact) ขึ้นอยู่กับclinical sign ด้วย หมอเลยเสนอให้ตรวจ pcr แล้ว pcr เป็นneg เจ้่าของเลยโวยจะขอเงินคืน pcr แต่จริงๆมันเป็นปัญหาที่ testkit เค้าโวยว่าเราใช้ของไม่มีคุณภาพ</t>
  </si>
  <si>
    <t>ต้องแจ้งความเป็นไปได้เรื่องผลตรวจ false positive ไม่ใช่ไปแจ้งการันตีว่าผลถูกต้อง</t>
  </si>
  <si>
    <t>0191</t>
  </si>
  <si>
    <t>หมอนะโม หมอเท็น ตองฟร้อน แป้งฟร้อน</t>
  </si>
  <si>
    <t>สาขาทองหล่อ</t>
  </si>
  <si>
    <t>Ellie 9901</t>
  </si>
  <si>
    <t>AM เจ้าของฝากมา</t>
  </si>
  <si>
    <t>-</t>
  </si>
  <si>
    <t>1.Communication เจ้าของแจ้งว่าได้รับเรื่องว่าทีนัดแค่ 1 นัด แต่วันที่มามี 2 นัด และรอนาน เนื่องจากไม่มีใครแจ้ง 2. Financial ไม่ได้ลงรายละเอียด 3. Process</t>
  </si>
  <si>
    <t>11317 Buhey</t>
  </si>
  <si>
    <t>....</t>
  </si>
  <si>
    <t>พยาบาลแจ้งนัดทาง SMS ไม่ระบุเวลานัด</t>
  </si>
  <si>
    <t>เติมเวลาให้ตอนแจ้งนัด</t>
  </si>
  <si>
    <t>0000</t>
  </si>
  <si>
    <t>12069</t>
  </si>
  <si>
    <t>...</t>
  </si>
  <si>
    <t>พยาบาลเขียนในโน้ตว่าแจ้งไลน์รอตอบ แต่ลูกค้าไม่มีไลน์</t>
  </si>
  <si>
    <t>แจ้ง SMS เองภายหลัง</t>
  </si>
  <si>
    <t>12070</t>
  </si>
  <si>
    <t>.</t>
  </si>
  <si>
    <t>000</t>
  </si>
  <si>
    <t>แจ้ง SMS ให้ภายหลัง</t>
  </si>
  <si>
    <t>BP 409</t>
  </si>
  <si>
    <t>ศิริพัชร มหากิจศิริ  (149)</t>
  </si>
  <si>
    <t>081-819-9911</t>
  </si>
  <si>
    <t>ลูกค้ามานั่งรอหมอ 45 นาที พยาบาลไม่มีการแจ้งคิว ลูกค้าจึงได้ไปถามคิว แต่กลับโดนพยาบาลถามกลับว่า ไม่ได้แจ้งที่ชั้นล่างหรอคะ ทำให้รู้สึกแย่ และกลับบ้านเลย</t>
  </si>
  <si>
    <t>โทรไปรับฟัง และขอโทษ ครั้งหน้าถ้ามาใช้บริการขอไม่คิดค่าบริการ</t>
  </si>
  <si>
    <t>0190 ส้มโอ</t>
  </si>
  <si>
    <t>ไม่ทราบ</t>
  </si>
  <si>
    <t>คุมะ (1200)</t>
  </si>
  <si>
    <t xml:space="preserve"> สิริกาญจน์ เลิศอริยวรกุล  (850)</t>
  </si>
  <si>
    <t>081 571 3116</t>
  </si>
  <si>
    <t>ลูกค้าไปแจ้งเรื่องComplain กับเจ้าหน้าที่ที่สาขาPH ว่าทางสาขาTL บริการไม่ดีเลย ไม่อยากไปใช้บริการสาขาTLแล้ว เนื่องจากมีปัญหาหลายอย่าง 1.พยาบาลส่งกลับบ้านที่ชั้นWardเลย และไม่ได้แจ้งรายละเอียด ใบนัดก็ไม่มี 2.ทางAdmin กับFront ไม่ประสานงานกัน เพราะสอบถามเรื่องที่แจ้งมาทางLine ก็ไม่รู้เรื่อง 3.รอยานานมากกก</t>
  </si>
  <si>
    <t>ทางเจ้าหน้าที่FrontสาขาPH รับเรื่องไว้ให้ เพราะลูกค้าแจ้งแค่ว่าฝากด้วยนะคะ (โอโทรไปสอบถามเพิ่มเติม มีเรื่องของยา 3 ซองที่ไม่มีการอธิบายและแจ้ง , ใบนัดไม่มี Frontต้องโทรขึ้นไปถามด้านบนIPD อีกรอบ , หมอที่Ward ถามว่ามีอะไรจะถามไหม? , Line ไม่มีการคุยกัน รอการตอบกลับนานมาก เนื่องจากยาน้องหมดซึ่งเป็นยาปฎิชีวนะ แต่ดันมาถามชื่อยากลับ มีชื่นชมน้องFront มีService mindที่ดี คือ น้องบอส และน้องจ๋า</t>
  </si>
  <si>
    <t>0251 ตอง</t>
  </si>
  <si>
    <t>ไรวินท์ 8784</t>
  </si>
  <si>
    <t>คุณภิญญดา กิจวณิชกุล</t>
  </si>
  <si>
    <t>0955262451</t>
  </si>
  <si>
    <t>วันนี้พาน้องไรวินท์มาหาหมอ และหมอเจาะเลือดไม่ได้ 2 ครั้ง และจะขอลองเจาะเป็นครั้งที่3 เจ้าของเลยไม่ok เพราะน้องไม่ใช้หมาทดลอง ครั้งที่แล้วก็เป็นแบบนี้ ของน้องบี้เหมือนกัน เลยรู้สึกไม่ไว้วางใจ และกลับบ้านไป</t>
  </si>
  <si>
    <t>โทรไปรับฟัง และขอโทษ เสนอหมอท่านอื่นให้ แต่ลูกค้าบอกว่าอะไรที่ต้องใช้เข็มเจาะ จะไม่มาที่นี่แล้ว ขอไปหาที่อื่นดีกว่า มาหาแค่หมอกายภาพ กับหมอกระดูกพอ</t>
  </si>
  <si>
    <t>หมอEVE และเนยOPD</t>
  </si>
  <si>
    <t>ไข่ตุ๋น (4907)</t>
  </si>
  <si>
    <t>คุณวศุมา คณาชนะวชัชย์  (3534)</t>
  </si>
  <si>
    <t xml:space="preserve"> 090 514 5555</t>
  </si>
  <si>
    <t>CC หมอMET 1.เจ้าของค่อนข้างกังวลเรื่องอาการสุนัข แต่สิ่งที่เขาเจอในห้องตรวจไม่โอเค ประมาณว่าเขาพยายามอธิบายอาการแต่หมอพูดและตอบกลับในเชิงว่าสุนัขอาการดูปกติ ไม่ได้มีให้คำแนะนำอะไรต่อ ตอบกลับในเชิงว่าเจ้าของกังวลมากเกินไป ฟีลแบบไม่เข้าใจในความห่วงของเขาต่อสุนัข 2. มีอุ้มสุนัขหัวโขกโต๊ะตรวจ (เจ้าของไม่ได้เล่าว่ามีการขอโทษหรือไม่)</t>
  </si>
  <si>
    <t>Front รับเรื่องแจ้งให้หมอAL ติดต่อกลับวันที่11/6/68</t>
  </si>
  <si>
    <t>หมอPAN + Front แพรวา</t>
  </si>
  <si>
    <t>โซดา (11110)</t>
  </si>
  <si>
    <t xml:space="preserve"> สุภาภรณ์ สุธรรมโกศล  (7929)</t>
  </si>
  <si>
    <t>081 995 4388</t>
  </si>
  <si>
    <t>หมอ และพยาบาลเลื่อนเวลานัดลูกค้าไปเอง โดยที่ไม่ได้โทรแจ้งลูกค้าก่อน เมื่อน้องพยาบาลโทรไปConfirm นัดของวันที่12/6/68 ทำให้ลูกค้าไม่พอใจ</t>
  </si>
  <si>
    <t>ขอโทษ และนัดกลับให้เป็นเวลาเดิม และโทรไปแจ้งหมอ ให้หมอเลื่อนนัดนัดลูกค้าของหมอแทน</t>
  </si>
  <si>
    <t>หมอGIF+OPD เนย</t>
  </si>
  <si>
    <t>ทองหยิบ</t>
  </si>
  <si>
    <t>คุณวิระยา ฐิติเวส</t>
  </si>
  <si>
    <t>0893655954</t>
  </si>
  <si>
    <t>คืนยาเนื่องจากสัตว์เลี้ยงแพ้ยากลุ่มที่จ่าย แพ้ Cephalexin susp เปลื่ยนเป็น Clindamycin cap</t>
  </si>
  <si>
    <t>ต้องย้ำกับทางลูกค้าอีกครั้งก่อนจ่ายยาว่ามีแพ้ยาแพ้อาหารอะไรไหม และยืนยันกับทางคุณหมอ</t>
  </si>
  <si>
    <t>0039</t>
  </si>
  <si>
    <t>Rodsukon Lakorn</t>
  </si>
  <si>
    <t>12479</t>
  </si>
  <si>
    <t>พรทิพย์ แช่โกว</t>
  </si>
  <si>
    <t>0949646649</t>
  </si>
  <si>
    <t>แมวอาการไม่ดีต้องไปแอดมิด ประสานงานอะไรเรียบร้อย นัดpet taxi 17.30 เพื่อออกจากทองหล่อ แต่เวลาที่มารับเพชรเกษมเกือบ 2 ทุ่ม ทั้งที่ไม่ควรใช้เวลามารับเกิน 1 ชม พี่ตี๋ pettaxi แจ้งเวลาออกแล้วแต่ออกจริงเกือบ1ทุ่มซึ่งต้องรอคนนุ้นคนนี้เพื่อมากับรถ แจ้งไปแล้วว่าไม่ต้องใช้หมอก็ได้เพราะอาการคงที่่ อยากได้แค่พยาบาลมา(ซึ่งก้ตามprocess ว่าต้องมีพยาบาลมาด้วยเพราะน้องต้องใช้ oxygen) แล้วประเด็นคือลูกค้าโทรมาจากต่างประเทศโทรมาโวยสาขาเพชรเกษมว่าช้าขนาดนี้เดี๋ยวจะเรียก pettaxi เอง ทักไลน์ทองหล่อไปไม่มีใครตอบ สาขาเพชรเกษมโดนด่ายับ</t>
  </si>
  <si>
    <t>รอบหน้าถ้ามันช้าที่อะไรก้ควรบอกหน่อยหรือแจ้งกลับหน่อย ไม่ใช่ให้ทางหน้างานเคลียปัญหากันเองโดยที่ไม่รุ้ว่าต้นเหตุความช้าคืออะไร ส่งเคสไปผ่านpettaxi แต่ละทีมีปัญหาตลอด</t>
  </si>
  <si>
    <t>แป้ง หมอหลิน หมอเท็น พี่ตี๋pettaxi หมอมิ้ม หมออาม พยาบาลเนย</t>
  </si>
  <si>
    <t>Lou (6113)</t>
  </si>
  <si>
    <t>Andrea Bennett  (4383)</t>
  </si>
  <si>
    <t>093 285 4436</t>
  </si>
  <si>
    <t>I am writing to formally express my deep disappointment and concern regarding the handling of my Pomeranian’s recent blood draw at your clinic.  Despite my dog never having had an issue with blood draws in the past, this visit resulted in excessive trauma. The staff attempted to draw blood from his front leg and both hind legs, and I was shocked to return to the room and find significant bleeding and visible distress. The procedure, which should have taken only a few minutes, lasted over 15 minutes with three adults restraining a small dog.  I raised concerns before leaving the clinic and specifically requested that a veterinarian reassess his legs. Despite this, no vet came to speak with me or evaluate his condition. Instead, I was told to return “if there’s an issue.” The photos I took afterward show substantial bruising and swelling—far beyond what is acceptable for a standard blood draw.  This level of injury suggests either serious mishandling or a lack of technical competence. It is entirely unprofessional and unacceptable that:  • No licensed veterinarian assessed him before I left, despite my explicit request.  • The vet responsible was not made available to speak with me.  • I was expected to travel back another hour each way just to have my concerns taken seriously.  This should never have happened. I am requesting that:  1. The veterinarian who performed the blood draw is not allowed to handle my dog again under any circumstance.  2. This individual receives appropriate supervision and retraining before being allowed to conduct any procedures independently.  3. A senior veterinarian reviews this incident in full and contacts me directly to discuss it.  4. A record of this complaint is kept on file, and steps are taken to prevent this from happening to any other animal.  I am also preparing a formal complaint with the relevant veterinary regulatory authority. My dog is not a test subject, and the lack of accountability and care displayed during this visit was unacceptable.  I expect a timely and professional response.</t>
  </si>
  <si>
    <t>หมอAL โทรไปคุย - สื่อสารผิดพลาดเรื่องเวลานัด (คราวที่แล้วไปถึง 11.30 , จนท มาบอกว่าเวลานัดคือ 8pm??)  - May ดูไม่เข้าใจว่าจะให้ตรวจอะไร (คิดว่าน่าจะ miscommunication) - Bruise on back leg (อธิบายไปแล้วว่า เจาะเลือดเยอะมาก หมาตัวเล็กและอาจจะดื้นด้วย ซึ่งแต่ละตัว แต่ละหมอ แต่ละวัน ความยากง่ายในการเจาะอาจไม่เหมือนกัน) - บอกให้กลับมาพรุ่งนี้ถ้าเป็นอะไร -  บ้านไกล ไม่มีเวลากลับมาหรอก - ไม่มีใครมาตรวจให้ก่อนกลับ - ขอโทษ จข ให้แล้ว - Mos คุยภาษาอังกฤษไม่ค่อยเก่ง - บอกไปว่าหมอแต่ละคนก็อาจจะพูดได้ไม่เท่ากัน แต่ทุกคนก็พยายามจะสื่อสารให้ได้ละเอียดและถูกต้องที่สุด พฤหัสหน้าจะพยายามหาคนไปช่วยสื่อสารให้  *** ตรวจเลือดอาทิตย์หน้ายกเลิกไปก่อน ตอนแรกจะตรวจ thyroid - ดูไม่ urgent . ให้ขามันได้พักก่อนดีกว่า ส่วนเรื่อง รอยช้ำ แนะนำ ประคบเย็น 10 นาที/ ข้าง ทุกๆ 6-12 ชั่วโมง รอยช้ำจะค่อยๆดีขึ้นใน 5-6วัน ผลเลือด platelet ปกติ จึงคิดว่าน่าจะเป็นมาจาก trauma ตอนเจาะเลือดมากกว่าปัญหาเรื่อง clotting  AL ให้ จข ส่งภาพขา มาอัพเดท ทุก 1-2 วัน จะได้คอยติดตามอาการให้ ว่าต้องเพิ่มการรักษาอื่นๆมั้ย วันพุธหน้า ถ้าขายังช้ำอยู่ จะยกเลิกกายภาพไปก่อน รอให้หายช้ำก่อน</t>
  </si>
  <si>
    <t>หมอMAY</t>
  </si>
  <si>
    <t>วินเซนต์ (12543)</t>
  </si>
  <si>
    <t>Nat Jakpaisan(8943)</t>
  </si>
  <si>
    <t>089 519 2222</t>
  </si>
  <si>
    <t>วันนี้พาน้องมาตรวจเลือด พร้อมฝังไมโครชิพ แต่คุณหมอฝังไม่เข้า แจ้งว่าพอดีเป็นไมโครชิพใหม่ ตอนที่หมอฝังไมโครชิพ ก็แจ้งว่าเสร็จแล้ว แต่ไม่มีการตรวจสอบ เจ้าของเลยแจ้งหมอให้ตรวจสอบก่อน เลยทราบว่าฝังไม่เข้า หมอไม่มีempathy เลย ไม่ดูแผลน้องด้วย</t>
  </si>
  <si>
    <t>โอโทรคุยกับเจ้าของรับฟัง ขอโทษกับการบริการครั้งนี้ และไม่คิดค่าใช้จ่าย แจ้งว่าให้มาฝังไมโครชิพครั้งหน้า ให้แผลน้องหายก่อน เจ้าของขอคิดดูก่อน เพราะรู้สึกไม่ไว้ใจหมอของรพ.เราแล้ว(มีพี่ฝน(พันธ์) ) ที่ดูแผลให้น้อง และเช็ดเลือดให้ เจ้าของฝากเรื่องนี้ให้ทีมแพทย์พิจารณาว่าจะจัดการเรื่องนี้ยังไง</t>
  </si>
  <si>
    <t>หมอSAN , OPDเพื่อน , พี่ฝน(พันธ์)</t>
  </si>
  <si>
    <t>วินเซนต์ 12543</t>
  </si>
  <si>
    <t>Nat Jakpaisan  (8943)</t>
  </si>
  <si>
    <t>+66 89 519 2222</t>
  </si>
  <si>
    <t>หมอมีการฝังไมโครชิพ Anyvet แต่หมอไม่ทราบว่าต้องดึงปลอกสีฟ้าออกก่อนฝังและทำการฝัง ทำให้ไมโครชิพไม่ถูกฝังเข้าไปในตัวสัตว์เลยขอลูกค้าฝังอีกรอบแต่ลูกค้าเกิดความไม่พอใจเป็นอย่างมาก</t>
  </si>
  <si>
    <t>ควรตรวจสอบวิธีการใช้งานหรือสอบถามทางเจ้าหน้าที่ก่อนการทำ Microchip</t>
  </si>
  <si>
    <t>ปัด ห้องยาทองหล่อ</t>
  </si>
  <si>
    <t>จิมมี่ 12580</t>
  </si>
  <si>
    <t>นันทพร กุดหินนอก</t>
  </si>
  <si>
    <t>0806088317</t>
  </si>
  <si>
    <t>หมอจ่ายยาผิดจาก Samlin S เป็น L</t>
  </si>
  <si>
    <t>ควรทวนและเช็คน้ำหนักก่อนจ่ายยา</t>
  </si>
  <si>
    <t>มิน ไอซ์ ปิ่น วุ้น</t>
  </si>
  <si>
    <t>เดวิว</t>
  </si>
  <si>
    <t>วราพร</t>
  </si>
  <si>
    <t>0957743335</t>
  </si>
  <si>
    <t>หมอประเมินราคาแล้วไม่แจ้งฟร้อนทำให้ลุกค้าสับสน พอลุกค้าถามก็ตอบไม่ได้และไม่ตอบไลน์</t>
  </si>
  <si>
    <t>หมอเหมียว โยฟร้อน</t>
  </si>
  <si>
    <t>Melo</t>
  </si>
  <si>
    <t>K.Nanthinee</t>
  </si>
  <si>
    <t>0918265665</t>
  </si>
  <si>
    <t>ไลน์มาทั้งไลน์IPDและไลน์ทองหล่อไม่มีเจ้าหน้าที่ตอบว่าอาการน้องเป็นอย่างไรและหมอผ่าตัดจะสะดวกคุยกี่โมง</t>
  </si>
  <si>
    <t>แจ้งลูกค้าอีก1 ชั่วโมงหมอผ่าตัดจะสะดวกคุยด้วยตอนนี้ติดผ่าตัดอยู่ ให้หมอIPDแจ้งอาการเบื้องต้นไปก่อน(หมอรับปากแต่ไม่ได้แจ้ง)</t>
  </si>
  <si>
    <t>0219</t>
  </si>
  <si>
    <t>พันธ์ บุญเชิด</t>
  </si>
  <si>
    <t>จูลเลียน (12925)</t>
  </si>
  <si>
    <t xml:space="preserve"> ปัณณพร พิชิตวัฒนา  (9207)</t>
  </si>
  <si>
    <t>088 954 1664</t>
  </si>
  <si>
    <t>เจ้าของเข้าใจว่าได้ทำ MRI 1 part ในราคา 23000 บาท แต่หมอมีการทำ MRI 2 Part โดยที่เจ้าของไม่ทราบทำให้ค่าใช้จ่ายเป็น 29000 บาท</t>
  </si>
  <si>
    <t>รับเรื่องแจ้งเจ้าหน้าที่ที่เกี่ยวข้อง โทรคุยกับลูกค้าแล้วพร้อมอธิบายรายการค่าใช้จ่ายและสาเหตุที่คุณหมอต้องทำ 2 Part คนไข้เข้าใจเรียบร้อยค่ะ บิลรายละเอียดของเราดูยากค่ะ ทำให้ไม่เข้าใจ</t>
  </si>
  <si>
    <t>แพรวา-Front</t>
  </si>
  <si>
    <t>เจ้าของแจ้งว่าเคยได้มีการโทรสอบถามว่าสามารถตรวจ ECho หัวใจด้วยโปร 2990 ได้ไหม เจ้าของได้รับคำตอบว่าทำได้ แต่ในบิลคุณหมอชัญภรไม่ได้คีย์ค่าใช้จ่ายแบบโปรโมชั่น  คีย์เป็นราคาเต็ม 3200 บาท ตรวจสอบในนัดที่ลงไว้ไม่ได้ระบุว่าใช้โปรและพยาบาลเป็นคนสร้างนัด ทำให้ต้องคืนเงินส่วนต่างในระบบ 210 บาท</t>
  </si>
  <si>
    <t>แจ้งบัญชีทำเรื่องคืนเงินในระบบ แจ้งลูกค้าเรื่องทำแจ้งคืนเงิน ลูกค้าให้ใส่เป็น Credit ในระบบทิ้งไว้ค่ะ</t>
  </si>
  <si>
    <t>SeeNin</t>
  </si>
  <si>
    <t>AM</t>
  </si>
  <si>
    <t>0831677088</t>
  </si>
  <si>
    <t>Ignore customer</t>
  </si>
  <si>
    <t>1001</t>
  </si>
  <si>
    <t>สาขาภูเก็ต</t>
  </si>
  <si>
    <t>Kotja 13348</t>
  </si>
  <si>
    <t>จิดาภา โลหะนวกุล</t>
  </si>
  <si>
    <t>0842535137</t>
  </si>
  <si>
    <t>ประเมินค่าใช้จ่ายและเรียกเก็บเงินลูกค้ามากกว่าความเป็นจริง ทำให้ต้องมีการคืนเงินลูกค้า</t>
  </si>
  <si>
    <t>1044</t>
  </si>
  <si>
    <t>นายเด่นพงศ์ สุขมาก (ฟร้อนที่รับเรื่องหน้างาน)</t>
  </si>
  <si>
    <t>สาขาหลังสวน</t>
  </si>
  <si>
    <t>Naka (นากะ) (7184)</t>
  </si>
  <si>
    <t>Chansik Ko  (896)</t>
  </si>
  <si>
    <t>061 175 4115</t>
  </si>
  <si>
    <t>สวัสดี วันนี้ฉันพาสุนัขไปหาสัตวแพทย์ เธอเป็นแค่สัตวแพทย์ทั่วไป ฉันนึกว่าฉันจะได้เจอคุณหมอเฉพาะทางด้านฟันของสุนัขเสียอีก?  เธอช่วยอะไรได้ไม่มาก นอกจากพยายามติดต่อคุณหมอเฉพาะทางให้ แล้วฉันยังต้องจ่าย 500 บาทแค่เพียงเท่านั้นเอง มันดูไม่สมเหตุสมผลเลย ?  จากนั้นฉันต้องจองนัดใหม่กับคุณหมอเฉพาะทางในวันอื่น นี่เป็นประสบการณ์ที่น่าผิดหวังมาก และไม่เป็นมืออาชีพเลย</t>
  </si>
  <si>
    <t>Adminตอง ทำการแจ้งขอโทษไปทางLine ว่า ขอขอบคุณสำหรับข้อความของคุณ และต้องขออภัยอย่างสูงสำหรับความไม่สะดวกและความเข้าใจที่คลาดเคลื่อนในการเข้ารับบริการในครั้งนี้  เราเข้าใจถึงความรู้สึกผิดหวังของคุณเป็นอย่างดี และเสียใจที่การนัดหมายในครั้งนี้ไม่ได้เป็นไปตามที่คาดหวังไว้ เดิมทีการนัดหมายกับคุณหมอทั่วไปมีวัตถุประสงค์เพื่อประเมินเบื้องต้นและช่วยประสานงานกับคุณหมอเฉพาะทางด้านทันตกรรม แต่เรายอมรับว่ามีข้อผิดพลาดในการสื่อสารที่ชัดเจน และขออภัยมา ณ ที่นี้ ทางเราจะแจ้งผู้จัดการเพื่อรับทราบและติดต่อกลับไปอย่างเร็วที่สุด</t>
  </si>
  <si>
    <t>ฟักทอง 13805</t>
  </si>
  <si>
    <t>สิรวีร์</t>
  </si>
  <si>
    <t>0655989891</t>
  </si>
  <si>
    <t>เจ้าของแจ้งว่าที่นอนห้องfam1 มีกลิ่นฉี่เหม็นค่ะ</t>
  </si>
  <si>
    <t>เช็คการเข้าพักของห้องพักมีห้องว่างให้เจ้าของย้ายห้องค่ะ</t>
  </si>
  <si>
    <t>0081</t>
  </si>
  <si>
    <t xml:space="preserve">โบนุช </t>
  </si>
  <si>
    <t>บาลู</t>
  </si>
  <si>
    <t>POL และ บุ๊คห้องยา</t>
  </si>
  <si>
    <t>0935295359</t>
  </si>
  <si>
    <t>ป้อนยาเคมีบำบัดผิดขนาด จาก Lomustine 10mg เป็น lomustine 40mg เหตุเกิดจากห้องยาหยิบยาผิดขวด และหมอไม่ได้เช็คภาพคอนเฟิมยาก่อนป้อนยาให้สัตว์</t>
  </si>
  <si>
    <t>1. กระตุ้นอาเจียน 2. ป้อน charcoal 3. ให้น้ำเกลือ 4. ตรวจเลือด CBC+ALT sid เพื่อ monitor myelosuppression และ hepatotoxic 5. admit ICU ดูอาการ 7-14 วัน เนื่องจาก side effect อาจ delayed ยาวนานได้ถึง 14 วัน</t>
  </si>
  <si>
    <t>3350</t>
  </si>
  <si>
    <t>พยาบาลโบว์</t>
  </si>
  <si>
    <t>มะขาม ไข่ตุ๋น</t>
  </si>
  <si>
    <t>ภานุภัทท์</t>
  </si>
  <si>
    <t>0958482960</t>
  </si>
  <si>
    <t>เคสมาปรึกษาทำหมัน หมอEVE เลือกใช้ตรวจเลือดแพ็กเกจทำหมัน แต่หมอแจ้งลูกค้าในห้องตรวจว่าสามารถจ่ายแยกกันได้ แต่ไม่สามารถจ่ายแยกได้ เนื่องจากซื้อแพ็กเกจ เคยแจ้งทีมหมอแล้ว ฝ่ายบัญชีของเจ้าของไม่โอเคกับการสื่อสารเป็นอย่างมาก ทำให้หน้างานโดนด่า</t>
  </si>
  <si>
    <t>ขอโทษลูกค้า และเก็บตามที่หมอแจ้ง</t>
  </si>
  <si>
    <t>บอส</t>
  </si>
  <si>
    <t>Vino (7813)</t>
  </si>
  <si>
    <t>คุณอภิชญา บวรเศรษฐนันท์ (5600)</t>
  </si>
  <si>
    <t>081-8293739</t>
  </si>
  <si>
    <t>ลูกค้าพาน้องมาหาหมอเพราะไปเหยียบอะไรมาไม่รู้แล้วยกขาตลอดเลย แต่ไม่มีเลือดไหลไม่เห็นแผล หมอยังไม่สะดวกรับ เพราะติดเคสที่Wardอยู่ ให้รอหมอOPD เช้า ทำให้ลูกค้าไม่พอใจ ไม่สะดวกรอ และเดินกลับออกไปเลย</t>
  </si>
  <si>
    <t>Front แจ้งลูกค้าว่าหมอติดเคสหนักที่Ward อยู่ เดี๋ยวมีหมออีกท่านมา8 โมง</t>
  </si>
  <si>
    <t>0190</t>
  </si>
  <si>
    <t>Front ธันน์ VET หมอSY</t>
  </si>
  <si>
    <t>กุชชี่ 13558</t>
  </si>
  <si>
    <t>หมอต้องการให้ส่งตรวจเพาะเชื้อแบคทีเรียซึ่งใช้ code “L-NB-Nabon BactCulture/Sense” ราคาตรวจ 1,000 บาท แต่ได้มีการกดคำสั่งใน Provet ผิดพลาดเป็น code “L-NB-Nabon Biopsy” ราคาตรวจ 1,600 บาท ตามคำสั่ง Laboratory request #23002 ถึงแม้จะได้ผลการตรวจถูกต้องอย่างที่ต้องการคือการเพาะเชื้อแบคทีเรีย แต่มีการคีย์ข้อมูลและเก็บเงินผิดพลาด จึงต้องการให้ลบคำสั่งที่ผิดไปดังกล่าว แล้วแก้ไขคำสั่งที่ถูกต้องใหม่ ลูกค้ามีความประสงค์ให้เก็บยอด 600 บาทไว้เป็นเครดิตในระบบเพื่อใช้ในนัดหมายครั้งถัดไป</t>
  </si>
  <si>
    <t>โทรแจ้งลูกค้าและขอโทษ เสนอทางเลือกเก็บเป็น credit ไว้ซึ่งเจ้าของตกลง ในอนาคตต้องมีความระมัดระวังเรื่องการคีย์คำสั่งข้อมูลให้มากกว่านี้ ตอนนี้ทำ memo ส่งทางบัญชีแล้วค่ะ</t>
  </si>
  <si>
    <t>จิดาภา</t>
  </si>
  <si>
    <t>นมสด 14145</t>
  </si>
  <si>
    <t>คุณอนัญญา</t>
  </si>
  <si>
    <t>0960505662</t>
  </si>
  <si>
    <t>ลูกค้าปฏิเสธการรักษาเนื่องจากค่ารักษา แมวได้รับการวินิจฉัยว่าเป็น FPV ซึ่งเป็นโรคไวรัสที่รุนแรง อัตราการเสียชีวิตสูง ค่ารักษาสูง ประเมินราคาแล้วลูกค้าไปต่อไม่ไหว</t>
  </si>
  <si>
    <t>ให้ยากินเบื้องต้นและให้ใบรับรองแพทย์ที่ตรวจแล็บไป แนะนำให้ไปรักษาต่อคลินิกใกล้บ้านหรือที่ที่ลูกค้ารับราคาไหว</t>
  </si>
  <si>
    <t>จิดาภา 1044</t>
  </si>
  <si>
    <t>หมอ JL และพยาบาลแมว พยาบาลตี๋</t>
  </si>
  <si>
    <t>Lily 10804</t>
  </si>
  <si>
    <t>ลูกค้าต้องการคืนเงินมัดจำ เนื่องจากตอนแรกวางมัดจำไว้สำหรับตรวจเลือดและทำหมัน ภายหลังเปลี่ยนใจไม่ต้องการทำหมันแล้วแต่ให้ตรวจเลือดเฉยๆ ทำให้หลังหักลบกันมียอดคงเหลือในระบบ ลูกค้าต้องการให้โอนคืนทั้งหมด โดยแจ้งว่าไม่สะดวกด้านค่าใช้จ่ายแล้ว ทั้งที่ตอนเช้าคุยกับหมอตกลงเรื่องราคาเรียบร้อยแล้วก่อนลูกค้าจะไปวางเงินมัดจำ</t>
  </si>
  <si>
    <t>หมอ JR, ฟร้อนโม</t>
  </si>
  <si>
    <t>ต้อง</t>
  </si>
  <si>
    <t>41250004369</t>
  </si>
  <si>
    <t xml:space="preserve">โอนเงินสดคืนจำนวน 4,982.50 </t>
  </si>
  <si>
    <t>5303 / 5304</t>
  </si>
  <si>
    <t>จุฑามาศ อาจสามารถ</t>
  </si>
  <si>
    <t>0980282330</t>
  </si>
  <si>
    <t>ลูกค้าพาหมามาทำหมัน 2 ตัว ในวันกลับลูกค้าแจ้งว่าจะมารับเลทแอดมินจึงแจ้งว่าหากเกินเวลาแอดมิทจะมีค่าบริการเพิ่ม หลังจากนั้นลูกค้าทักมาเพื่อถามเรื่องราคา pet limo หลังจากแอดมินแจ้งราคาลุกค้าจึงโทรมาเพื่อถามว่าโรงพยาบาลคิดค่าทำหมันที่แพงมากแล้ว ไปรับเลทก็ต้องจ่ายเพิ่ม จะเอารถรับส่งก็ต้องจ่ายเพิ่มทั้งๆที่ระยะทางไม่ได้ไกลเลย (3.9 km) หลักๆคือการคอมเพลนเรื่องค่าใช้จ่ายที่แพงค่ะ</t>
  </si>
  <si>
    <t>เบื้องต้นได้อธิบายในส่วนของการชาร์จราคาการมารับเลท และค่าบริการรถรับส่งไปแล้ว ลูกค้าแจ้งว่าเข้าใจ แต่คิดว่าคงเปลี่ยนโรงพยาบาล</t>
  </si>
  <si>
    <t>0293</t>
  </si>
  <si>
    <t>ศุภรัตน์ วงศ์พิพัฒน์เจริญ / รัญชิดา เทพแก้ว / พิศุทธิ์ สายชู</t>
  </si>
  <si>
    <t>ไม่ต้อง</t>
  </si>
  <si>
    <t>HN 2984</t>
  </si>
  <si>
    <t>คุณหรัณย์ พรรณพานิช</t>
  </si>
  <si>
    <t>085 666 5366</t>
  </si>
  <si>
    <t>FRONT</t>
  </si>
  <si>
    <t>ไม่ได้แจ้งเจ้าของว่าจะมีค่าฝากเลี้ยงหลังจากพบหมอ</t>
  </si>
  <si>
    <t>พี่ฝน(คุณพันธ์) โทรไปขอโทษ และให้ฝากเลี้ยงโดยไม่มีค่าใช้จ่าย เนื่องจากทางเราไม่ได้แจ้งเจ้าของก่อน</t>
  </si>
  <si>
    <t>แพรวาFront</t>
  </si>
  <si>
    <t>Rolex</t>
  </si>
  <si>
    <t>Waranon</t>
  </si>
  <si>
    <t>0925619940</t>
  </si>
  <si>
    <t>GROOMING</t>
  </si>
  <si>
    <t>ช่างอาบน้ำไวมากใช้เวลาแค่30นาที แต่พันธุ์นี่ต้องใช้เวลา1.30ชม</t>
  </si>
  <si>
    <t>ว่ากล่าวตักเตือนเรียบร้อยและให้จับเวลาในการอาบน้ำ รวมภึงให้ฟร้อนและพยาบาลช่วยกันดู หลังอาบ ให้หมอรีเชคอีกที</t>
  </si>
  <si>
    <t>Chama</t>
  </si>
  <si>
    <t>51250002182</t>
  </si>
  <si>
    <t>Credit note</t>
  </si>
  <si>
    <t>ค่ารักษาหลังจากที่มาอาบน้ำเพื่อแสดงความรับผิดชอบ</t>
  </si>
  <si>
    <t>Rocky (4256)</t>
  </si>
  <si>
    <t>Tim Ho  (3090)</t>
  </si>
  <si>
    <t>080 656 9100</t>
  </si>
  <si>
    <t>VET</t>
  </si>
  <si>
    <t>คุณหมอมีการคีย์ค่าใช้จ่าย 	ค่าบริการเช็ดหู M (Vet) ในบิล โดยที่หมอมีการคีย์ ค่าบริการเช็ดหู S (Vet) มาแล้ว ทำให้ลูกค้าเสียค่าใช้จ่ายในบิลเพิ่ม 130 บาท</t>
  </si>
  <si>
    <t>เก็บเงินลูกค้ามาตามบิล 2,766 บาท แล้วทำการ void ออก แล้วรับชำระใหม่ยอด 1,300 บาท</t>
  </si>
  <si>
    <t>แพรวา</t>
  </si>
  <si>
    <t>21250014586</t>
  </si>
  <si>
    <t>Credit card</t>
  </si>
  <si>
    <t xml:space="preserve">	ค่าบริการเช็ดหู M (Vet) / ค่าบริการเช็ดหู M   130 บาท</t>
  </si>
  <si>
    <t>เฌอนุ่น 12794</t>
  </si>
  <si>
    <t>ตูน</t>
  </si>
  <si>
    <t>094-9941670</t>
  </si>
  <si>
    <t>NURSE IPD</t>
  </si>
  <si>
    <t>พยาบาลป้อนยาผิดตัว</t>
  </si>
  <si>
    <t>ให้ลูกค้าพาน้องกลับมาแอกมิทให้น้ำเกลือและเช็คเลือด 7/8มีนัดเช็คเลือดซ้ำกับคุณหมอเจ้าของไข้</t>
  </si>
  <si>
    <t>0288</t>
  </si>
  <si>
    <t>ไอติม HN 13290</t>
  </si>
  <si>
    <t>คุณธิดารัตน์</t>
  </si>
  <si>
    <t>0819890958</t>
  </si>
  <si>
    <t>ไอติมมาเวลา 07.10 น. มีเลือดออกจากจมูก Front แจ้งว่าต้องรอหมอถึง 08.00 ลูกค้าไม่รอพาไปทองหล่อ</t>
  </si>
  <si>
    <t>แพรวาโทรไปขอโทษลูกค้า</t>
  </si>
  <si>
    <t>แพรวา จ๋า</t>
  </si>
  <si>
    <t>Jordy1790</t>
  </si>
  <si>
    <t>Alina</t>
  </si>
  <si>
    <t>0894424694</t>
  </si>
  <si>
    <t>คุณหมอทำหัตถการเจาะกระเพาะปัสสาวะโดยไม่ได้รับความยินยอมจากเจ้าของ</t>
  </si>
  <si>
    <t>แจ้งหัวหน้าหมอดำเนินการตักเตือน ผจก โทรติดต่อ ลค เพิ่อทำการขอโทษ และชดเชย ลค ด้วยการให้ตรวจปัสสาวะไม่ที คชจ ให้หมอ จข เคสโทรคุยและรับทราบccลค</t>
  </si>
  <si>
    <t>0226</t>
  </si>
  <si>
    <t>ตะวัน ไผ่ตะการ</t>
  </si>
  <si>
    <t>Buzz5987</t>
  </si>
  <si>
    <t>พรภวิษย์</t>
  </si>
  <si>
    <t>0944142656</t>
  </si>
  <si>
    <t>ช่างไถสั้นไม่ตรงตามที่ จข แจ้ง จข ต้องการแค่สั้นลง งานที่ออกมาไม่เรียยร้อย ลักษณะเป็นขั้นๆไม่เรียบเนียน</t>
  </si>
  <si>
    <t>ผจก รับccให้ ลค นำมาแก้ไขที่สาขาทองหล่อและบริการpet taxiไม่มีค่าใช้จ่าย</t>
  </si>
  <si>
    <t>ปภิชยา</t>
  </si>
  <si>
    <t>Gobong 5760</t>
  </si>
  <si>
    <t>รินทร์ลิตา ฉัตรเมธีเกียรติ์</t>
  </si>
  <si>
    <t>0800818899</t>
  </si>
  <si>
    <t>PHARMACY</t>
  </si>
  <si>
    <t>ลูกค้าขอคืนสินค้า</t>
  </si>
  <si>
    <t>0211</t>
  </si>
  <si>
    <t>ปิ่น</t>
  </si>
  <si>
    <t>21250015645</t>
  </si>
  <si>
    <t>QR code</t>
  </si>
  <si>
    <t>คืนเงินลูกค้า (เข้า Prepayment)</t>
  </si>
  <si>
    <t>Purrpet-Blue Collar (M) Ver.2</t>
  </si>
  <si>
    <t>1471 พีโอนี่</t>
  </si>
  <si>
    <t>พี่ลั่นทม (พี่เลี้ยงของน้อง)</t>
  </si>
  <si>
    <t>0811325642</t>
  </si>
  <si>
    <t>NURSE OPD</t>
  </si>
  <si>
    <t>ไม่ได้แจ้งเรื่องให้เอาที่พันห้ามเลือดออก ทำให้ขันโดนที่พันห้ามเลือดรัดจนถึงเช้าของวันที่ 15/8</t>
  </si>
  <si>
    <t>1026</t>
  </si>
  <si>
    <t>หมอ CS</t>
  </si>
  <si>
    <t>11259 วุ้นเส้น</t>
  </si>
  <si>
    <t>รัชนี (คุณเจ้าของ)</t>
  </si>
  <si>
    <t>081 296 1789</t>
  </si>
  <si>
    <t>ไม่แจ้งหมอว่าลูกค้ามาถึงแล้ว ทำให้รอตรวจนานประมาณ 1 ชั่วโมง ทั้งที่มาถึงก่อนเวลานัด</t>
  </si>
  <si>
    <t>หมอ ARM</t>
  </si>
  <si>
    <t>9798 Rocco</t>
  </si>
  <si>
    <t>กชมน (เจ้าของ)</t>
  </si>
  <si>
    <t>064 695 4777</t>
  </si>
  <si>
    <t>โทรศัพท์ไม่สามารถติดต่อได้</t>
  </si>
  <si>
    <t>Ellie (14324)</t>
  </si>
  <si>
    <t>Sonny Alden  (10216)</t>
  </si>
  <si>
    <t>091 697 6661</t>
  </si>
  <si>
    <t>หมอเกรียงไกรคีย์ค่า 	IV SET Protector / Dexamethasone 0.5 mg TABLET  เข้าไปในบิล แต่ไม่ได้มีการใช้ แต่ Finalize บิลแล้ว และมีการเก็บเงินลูกค้าไปแล้ว</t>
  </si>
  <si>
    <t>แพรวา Front</t>
  </si>
  <si>
    <t>21250015129</t>
  </si>
  <si>
    <t>IV SET Protector / Dexamethasone 0.5 mg TABLET   15 บาท</t>
  </si>
  <si>
    <t>ข้าวนึ่ง 7156</t>
  </si>
  <si>
    <t xml:space="preserve"> ศาสน์ตริน แซ่จิว  (5136)</t>
  </si>
  <si>
    <t>+66 83 525 3265</t>
  </si>
  <si>
    <t>เป่าขนไม่ดี มีขนเหลือเต็มตัว เก็บรายละเอียดตัดขนไม่ละเอียด ทำไม่เหมือนมาตรฐานเดิม</t>
  </si>
  <si>
    <t>ผู้จัดการโทรคุยเรียบร้อย ให้เจ้าของพากลับมาอาบน้ำและตัดขนแก้ทรงใหม่โดยไม่เสียค่าใช้จ่าย เจ้าของโอเคพอใจ แค่อยาก feedback และอยากรู้ว่าเปลี่ยนช่างหรือไม่ เพราะทุกครั้งที่มาใช้บริการทำได้ดีมาก</t>
  </si>
  <si>
    <t>1021</t>
  </si>
  <si>
    <t>ลูกเกด</t>
  </si>
  <si>
    <t>วัวนม</t>
  </si>
  <si>
    <t>0979206194</t>
  </si>
  <si>
    <t>ลูกค้าชำระโดย card แต่ลงระบบ Provet ชำระด้วย QR code</t>
  </si>
  <si>
    <t>เขียน Memo แก้ไขบิลใบเสร็จให้ทางบัญชี</t>
  </si>
  <si>
    <t>0074</t>
  </si>
  <si>
    <t>12467</t>
  </si>
  <si>
    <t>วรานนท์</t>
  </si>
  <si>
    <t>กรูมมิ่งอาบน้ำเร็วและไม่สะอาดทำให้หูสกปรกจนเกิดโรค</t>
  </si>
  <si>
    <t>เช็คก่อนส่งคืนเจ้าของ หับจับเวลาการอาบน้ำ</t>
  </si>
  <si>
    <t>Bambam 2383</t>
  </si>
  <si>
    <t>มัทธุรา</t>
  </si>
  <si>
    <t>0859536591</t>
  </si>
  <si>
    <t>สุนัขโดนกัดมาทำแผล กลับไปแล้วพบว่าหมอทำแผลไม่ครบ</t>
  </si>
  <si>
    <t>ให้ลูกค้ากลับมาทำแผลใหม่ ไม่มีค่าใช้จ่ายเพิ่ม</t>
  </si>
  <si>
    <t>ธิดารัตน์ ทูลพุทธา</t>
  </si>
  <si>
    <t>0949941670</t>
  </si>
  <si>
    <t>ป้อนยาผิดตัว ทำให้เกิดค่าใช้จ่ายในการตรวจเลือด</t>
  </si>
  <si>
    <t>Chopper</t>
  </si>
  <si>
    <t>หมอพล (รายงานแทน)</t>
  </si>
  <si>
    <t>การสื่อสารแผนการรักษาให้ชัดเจนกับเจ้าของ ทำให้เจ้าของไม่พอใจที่น้องต้องวางยาเพื่อทำ MRI อีกครั้ง</t>
  </si>
  <si>
    <t>Compensate ค่า MRI จาก 23000 เหลือ 15000</t>
  </si>
  <si>
    <t>หมอปุ้ย</t>
  </si>
  <si>
    <t>ยังไม่มี invoice</t>
  </si>
  <si>
    <t>ลดราคา Bundle MRI จาก 23000 เหลือ 15000</t>
  </si>
  <si>
    <t>แดอุน 11397</t>
  </si>
  <si>
    <t>ธัญญภัสร์ กฤติธนินท์ศักดิ์</t>
  </si>
  <si>
    <t>0964149395</t>
  </si>
  <si>
    <t>ลืมนำยาบนวอร์ดให้ลูกค้าก่อนกลับบ้านปล่อยให้ลูกค้าต้องนั่งรอนานๆ</t>
  </si>
  <si>
    <t>เนย ปิ่น ไอซ์</t>
  </si>
  <si>
    <t>ไลก้า</t>
  </si>
  <si>
    <t xml:space="preserve"> พิชชากร คุณวุฒิโอภาส (3892)</t>
  </si>
  <si>
    <t>66 65 540 9999</t>
  </si>
  <si>
    <t>ลูกค้า email Complain เข้ามาแจ้งว่าตั้งใจมาขูดหินปูน ก่อนเข้ารับบริการ สัตวแพทย์ได้แจ้งว่าอาจมีการถอนฟันเพิ่มเติม โดยคิดราคา “ซี่ละ 1,000–3,000 บาท” ซึ่งดิฉันได้ปฏิเสธมาตลอด ไม่ต้องการให้ถอนฟัน เพราะเกรงว่าสุนัขจะเจ็บตัวโดยไม่จำเป็น และสัตวแพทย์ก็ยืนยันว่าหากไม่มีปัญหามากก็ไม่ต้องถอน กระทั่งวันถัดมา เมื่อได้พบสัตวแพทย์อีกท่านก็ได้แจ้งเช่นเดียวกัน และดิฉันก็ยังคงยืนยันปฏิเสธเช่นเดิม อย่างไรก็ตาม ในระหว่างที่สุนัขอยู่ระหว่างการขูดหินปูน ทางโรงพยาบาลมีการโทรมาแจ้งว่าควรถอนฟันด้วยเหตุผลทางการแพทย์ ด้วยความรักสุนัขจึงอนุมัติให้ดำเนินการ แต่ในสายไม่เคยมีการแจ้งว่าจะมีค่าใช้จ่ายเพิ่มเติมในส่วนยาและอุปกรณ์อื่น ๆ ที่นอกเหนือจากราคาที่แจ้งไว้ก่อนหน้า ซึ่งถือว่าเป็นการเอาเปรียบผู้บริโภค เพราะเจ้าของไม่ได้รับข้อมูลที่ครบถ้วนก่อนการตัดสินใจ 2.ประสบการณ์ที่รู้สึกเหมือนถูกบังคับให้จ่ายโดยส่วนตัวเคยใช้บริการโรงพยาบาลสัตว์เอกชนหลายแห่ง เข้าใจดีว่ามีค่าใช้จ่ายสูง และสัตวแพทย์จำเป็นต้องมีเป้าหมายยอดรายได้ แต่ครั้งนี้กลับรู้สึกชัดเจนว่า การขายบริการและการคิดค่าใช้จ่าย ถูกให้ความสำคัญมากกว่าการตัดสินใจของเจ้าของสัตว์เลี้ยง แตกต่างจากโรงพยาบาลอื่น ๆ ที่ถึงแม้มีค่าใช้จ่ายสูง ดิฉันก็ยินดีจ่ายเพราะได้รับการสื่อสารที่โปร่งใสและเป็นธรรม</t>
  </si>
  <si>
    <t xml:space="preserve">คุยกับลูกค้า และจะทำส่วนลดพิเศษให้ 1160 บาท </t>
  </si>
  <si>
    <t>0305</t>
  </si>
  <si>
    <t>เปรมพร</t>
  </si>
  <si>
    <t>21250015544</t>
  </si>
  <si>
    <t>Damage 1160 บาท</t>
  </si>
  <si>
    <t>ลูน่า (Luna)</t>
  </si>
  <si>
    <t xml:space="preserve"> นภพรรษ ธนธีรากุล (10364)</t>
  </si>
  <si>
    <t xml:space="preserve">66 99 452 4651 </t>
  </si>
  <si>
    <t>.Back Office/Support</t>
  </si>
  <si>
    <t xml:space="preserve">เจ้าของเอาน้องมาฝากที่รร. โดยใช้ Pro 5 คืนคิด 3 คืนโดยขอให้ตดกล้องด้วย ทาง Admin Confirm ว่าคิดค่ากล้อง 300 บาท ทางลูกค้าไม่ยอมจ่ายอีก 2 คืน เป็น มุลค่า 200 บาท  </t>
  </si>
  <si>
    <t>บุญชู (14923)</t>
  </si>
  <si>
    <t>กาญจน์ศิริ บุนนาค  (10604)</t>
  </si>
  <si>
    <t>099 236 5989</t>
  </si>
  <si>
    <t>ลูกค้าโทรมาสอบถามการให้ยา เนื่องจากพึ่งกลับบ้านไป Front โทรขึ้นไปวอร์ดเพื่อสอบถาม โทรติดพยาบาลรอบแรก พยาบาลแจ้งว่าขอไปดูแพลนก่อนแล้วตัดสาย Front แจ้งลูกค้าแล้วว่าขอติดต่อกลับ แต่เขาขอรอ จนค่อนข้างนาน front เลยโทรหาพยาบาลอีกรอบ พยาบาลรับแล้ว Front แจ้งว่าเจ้าของอยากคุยกับพยาบาลไม่ใช่หมอ พยาบาลแจ้ง ค่ะ แล้วตัดสายอีกรอบ ทำให้เจ้าขอถือรายรอเกือบ 15 นาที จนเจ้าของวางไปเอง เจ้าของติดต่อกลับมาใหม่และคอมเพลนในส่วนของการให้ถือสายรอนาน และไม่เข้าใจเหตุผลว่าทำไมพยาบาลไม่คุยกับเขาโดยตรง แจ้งข้อมูลไปๆกลับผ่าน Front  แล้วเขาไม่ได้คำตอบที่ต้องการ ทำให้แมวได้รับยาช้ากว่ากำหนดเวลาที่ควรให้</t>
  </si>
  <si>
    <t>ขอโทษเจ้าของผ่านโทรศัพท์ และต่อสายให้พยาบาลคุยกับเจ้าของโดยตรงใหม่</t>
  </si>
  <si>
    <t>อ๋อ/แพรวา</t>
  </si>
  <si>
    <t>Bo (7520)</t>
  </si>
  <si>
    <t>Samantha(5408)</t>
  </si>
  <si>
    <t>+66 65 835 2040</t>
  </si>
  <si>
    <t>รอนาน</t>
  </si>
  <si>
    <t>ARM</t>
  </si>
  <si>
    <t>โบแบ (780)</t>
  </si>
  <si>
    <t xml:space="preserve">วินน์ สุทธิเดช (567) </t>
  </si>
  <si>
    <t>0956859946</t>
  </si>
  <si>
    <t>เจ้าของแจ้งว่า - รพ เคยจะคิดระบบ ที่ customer friendly กว่านี้มาแทนไหมครับ แอบลำบากเกินครับ ง่ายๆ เลขบัญชีหรือ QR บัญชี แล้วให้ ลูกค้าแจ้งสลิปโอนคือง่าย สุดสรุป การชำระนอก รพ นะครับ  เพื่อจะ พัฒนาให้ ลูกค้าสะดวกๆ มากขึ้น - เกิดจากการที่ลูกค้าพาน้องกลับบ้านไปโดยไม่ได้มาชำระเงินที่เค้าท์เตอร์ จึงส่งเก็บเงินทางไลน์ ลูกค้าขอคิวอาร์แต่หน้างานติดลูกค้าไม่สะดวกส่งให้ทันทีที่เขาขอ พอส่งตามไปให้ คิวอาร์หมดอายุ ซึ่งลูกค้าได้รับการส่งใหม่และคิวอาร์หมดอายุซ้ำ 2 รอบ โดยหน้างานติดลูกค้าไม่สามารถคอยมอนิเตอร์ตลอดเวลาได้จริงๆ ทำให้เกิดการคอมเพลน</t>
  </si>
  <si>
    <t>ขอโทษลูกค้าและให้เขามาจ่ายบิลในนัดครั้งหน้า ไม่สามารถส่งลิ้งค์ชำระยอดได้ เนื่องจากยอดไม่ถึง 1000 บาท</t>
  </si>
  <si>
    <t>Daisy</t>
  </si>
  <si>
    <t>คุณธัญย์ฐิตา</t>
  </si>
  <si>
    <t>0966329924</t>
  </si>
  <si>
    <t>การสื่อสารไม่ตรงกันระหว่างหมอคนแรกกับคนที่สอง</t>
  </si>
  <si>
    <t>โทรแจ้งPlanการ X-Ray และผ่าตัดวันนี้</t>
  </si>
  <si>
    <t xml:space="preserve">แพรวา </t>
  </si>
  <si>
    <t>10037</t>
  </si>
  <si>
    <t>7177</t>
  </si>
  <si>
    <t>ลูกค้าไลน์มาในไลน์กลาง ให้อาบน้ำ แต่ในนัดมีทำอาบน้ำแล้ว แต่เจ้าของส่งกลับมาอีกครั้งว่าจะให้ทำแบบ ฟูเซอร์วิส และแอดมินมีการตอบรับแต่ไม่มีการแก้ไข้นัดจึงทำให้มีการทำกรุมมิ่งแค่ อาบน้ำทำให้ลูกค้าไม่พอใจและจะไม่จ่ายเงิน ทำให้เกิดปัญหาในการเก็บเงิน</t>
  </si>
  <si>
    <t>Brownie HN.6535</t>
  </si>
  <si>
    <t>คุณ พริมาภา ทองดี</t>
  </si>
  <si>
    <t>0636391914</t>
  </si>
  <si>
    <t xml:space="preserve">ลูกค้ามาใช้บริการช่วงเวลา 20.23น. แล้วแจ้งกับทาง พนักงานต้อนรับว่า ป้ายทางเข้าของโรงพยาบาล มืดมาก มองไม่เห็นทางเข้า ลูกค้าขับพ้นทางเข้า 2 รอบ ทำให้เสียเวลากลับรถไปมา อาจจะเพราะป้ายทางเข้าของซอยที่อยู่ก่อนถึงเรา สว่างกว่ามากๆ ทำให้ป้ายของเราไม่เป็นจุดสังเกตุเลย อยากให้แก้ไขเรื่องป้ายหน่อย </t>
  </si>
  <si>
    <t>ตอบรับความคิดเห็นของลูกค้าและขอภัยในความไม่สะดวก จะนำความคิดเห็นไปปรับปรุง</t>
  </si>
  <si>
    <t>0159</t>
  </si>
  <si>
    <t>นายเด่นพงศ์ สุขมาก</t>
  </si>
  <si>
    <t>Sergio</t>
  </si>
  <si>
    <t>ลูกค้าเเจ้งว่าให้ทำอาบน้ำตัดขนแบบครบเซ็ต แต่ทางเจ้าหน้าที่ไม่ได้แก้ไขหัวข้อจึ้งทำให้เกิดการอ่บน้ำอย่างเดียว และทำให้ลูกค้าไม่พอใจ จะขอไม่ให้คิดเงินลูกค้าในบิลนั่น</t>
  </si>
  <si>
    <t>ควรให้แอดมินคุยกับลูกค้าให้ชัดเจนในความต้องการ</t>
  </si>
  <si>
    <t>..</t>
  </si>
  <si>
    <t>จ๋าฟร้อน ตองแอดมิน</t>
  </si>
  <si>
    <t>ยกเลิก Invoices</t>
  </si>
  <si>
    <t>คิโกะ 14627</t>
  </si>
  <si>
    <t xml:space="preserve"> กฤติกา บริบาลบุรีภัณฑ์</t>
  </si>
  <si>
    <t xml:space="preserve">0876817711 </t>
  </si>
  <si>
    <t>น้องมาผ่าตัดมะเร็งวันที่ 27/ค แล้วเสียชีวิต เจ้าของรู้สึกว่าเราดูแลหลังผ่าตัดไม่ดี ทำให้น้องถึงแกชีวิต</t>
  </si>
  <si>
    <t>คุยกับเจ้าของชี้แจงรายละเอียดเรื่องที่เกิดขึ้น ซึ่งเราทำตาม clinical guideline แต่เจ้าของเหมือนอยากได้เงินค่าเยียวยา</t>
  </si>
  <si>
    <t>Keshi11853</t>
  </si>
  <si>
    <t>คุณพรพรรณ</t>
  </si>
  <si>
    <t>0892045516</t>
  </si>
  <si>
    <t>ทำสุนัขหลุดจากสายรัดอก วิ่งออกถนนใหญ่</t>
  </si>
  <si>
    <t>จับน้องหมากลับมาได้อย่างปลอดภัย ขอโทษลูกค้า เรียกผู้เกี่ยวข้องมาตักเตือน วางมาตรการความปลอดภัย เสนอแนวทางกั้นรั้วบริเวณที่ขับถ่าย</t>
  </si>
  <si>
    <t>ตะวัน ไผ่ตระการ</t>
  </si>
  <si>
    <t>Mochi (15715)</t>
  </si>
  <si>
    <t xml:space="preserve">จุฑามาศ ขันมณี </t>
  </si>
  <si>
    <t>+66 89 393 5629</t>
  </si>
  <si>
    <t>รอตรวจนานประมาณ 1 ชั่วโมง โดยไม่ทราบเหตุผล</t>
  </si>
  <si>
    <t>1026 --อยากเห็นการแก้ไข และแนวทางการป้องกันที่ชัดเจนครับ เกิดเหตุการณ์ซ้ำหลายครั้งมากเกินไปแล้วครับ</t>
  </si>
  <si>
    <t>Micheal (15150)</t>
  </si>
  <si>
    <t>K.Zayar</t>
  </si>
  <si>
    <t>0936366119</t>
  </si>
  <si>
    <t>การจ่ายยาผิด</t>
  </si>
  <si>
    <t>ice,pad,noey(phar)</t>
  </si>
  <si>
    <t>มีตังค์ (8605)</t>
  </si>
  <si>
    <t>คุณธนวัฒน์ มานะวงศ์สกุล</t>
  </si>
  <si>
    <t>0909879466</t>
  </si>
  <si>
    <t>จ่ายยาผิดขนาดจาก pimo 5 mg เป็น 1.25 mg</t>
  </si>
  <si>
    <t>เช็คก่อนส่งอีกครั้ง</t>
  </si>
  <si>
    <t>INV21250016904</t>
  </si>
  <si>
    <t xml:space="preserve">Pimobendan 5 mg 16 tablet , </t>
  </si>
  <si>
    <t>Michael (15150)</t>
  </si>
  <si>
    <t>Zayar (Laeo) Lynn (10771)</t>
  </si>
  <si>
    <t>ในวันที่ 4/9/2025 ลูกค้าเข้ามารับบริการกับหมอชัญภรและได้มีการจ่ายยา หลังจากลูกค้าได้รับยาไปแล้วทางหมอมาตรวจสอบภายหลังพบว่ายา pravix แบ่งผิดส่วน จาก 1/4 เป็น 1/2 เลยให้ทางห้องยาโทรแจ้งลูกค้าขอยาคืนเพื่อนำมาแบ่งให้ถูก แต่ไม่ได้แจ้งลุกค้าโดยตรงว่าแบ่งยาผิดตั้งแต่แรก ทำให้ลูกค้าเกิดความไม่พอใจและเกิดการ cc เกิดขึ้นหลังจากนั้นได้มีการคืนเงินทั้งหมดใน inv21250017622 และไม่ต้องคืนยา จากนั้นนัดลูกค้าเข้ามาคุยกับหมอชัญภรในวันอาทิตย์ที่ 7/9/2025 มีการจ่ายยาชุดใหม่ไป โดยไม่ต้องชำระเงิน</t>
  </si>
  <si>
    <t>ตรวจสอบก่อนส่งจัดยา</t>
  </si>
  <si>
    <t>21250017622</t>
  </si>
  <si>
    <t>คืนเงินลูกค้า (โอนคืน)</t>
  </si>
  <si>
    <t xml:space="preserve">ทั้งบิล INV21250017622 (12,595) </t>
  </si>
  <si>
    <t>น้ำตาล 4826</t>
  </si>
  <si>
    <t>ปณิตา</t>
  </si>
  <si>
    <t>0898923535</t>
  </si>
  <si>
    <t>CASHIER</t>
  </si>
  <si>
    <t xml:space="preserve">มีการโอนเงินซ้ำ ลูกค้าชำระเงินผ่าน Payment gatway ซ้ำ </t>
  </si>
  <si>
    <t>โทรขอโทษลูกค้าแล้วครับ</t>
  </si>
  <si>
    <t>1</t>
  </si>
  <si>
    <t xml:space="preserve">ดินดี (13605) </t>
  </si>
  <si>
    <t>ปริสา สารนุสิต  (9714)</t>
  </si>
  <si>
    <t>0896929496</t>
  </si>
  <si>
    <t>หมอคีย์แพคเกจกายภาพผิด แต่บิลถูก finalize  ไปแล้วและมีการดึงเงินมัดจำในระบบของลูกค้าไปตัดบิลแล้ว</t>
  </si>
  <si>
    <t>เขีนMemoให้บัญชีแก้ไขบิล</t>
  </si>
  <si>
    <t>ฮันน่า (13608)</t>
  </si>
  <si>
    <t>หฤทชญา ประพลวณิช &amp; ไพลิน เวอร์จิเนีย สปาน  (925)</t>
  </si>
  <si>
    <t>097 969 4449</t>
  </si>
  <si>
    <t>หมอปนัดดาคีย์ยาผิด ต้องคีย์ VET PETZ ANTINOL DOG (Cap) แต่คีย์เป็นของแมวแทน บิลถูก finalize และเก็บเงินลูกค้าไปแล้ว</t>
  </si>
  <si>
    <t>คิดเป็นราคาที่ถูกต้องและเก็บเงินลูกค้าเพิ่มเติม</t>
  </si>
  <si>
    <t>เยลลี่ 15928</t>
  </si>
  <si>
    <t>K.ธัญลักษณ์11336</t>
  </si>
  <si>
    <t>0897855402</t>
  </si>
  <si>
    <t xml:space="preserve">  คีย์ค่าห้องพักicuสุนัขยอด 880 บาทเกิน ซึ่งในความเป็นจริงไม่ต้องเก็บค่าห้อง1คืนนี้ เนื่องจากลูกค้าใช้แพ็จเกจMRI โปร23,000    และได้มีการเรียกเก็บเงินกับลูกค้าแล้วทางลูกค้าชำระเงินเรียบร้อย จึงทำmemo เพื่อคืนเงินลูกค้าเข้าสู่ระบบ   ลูกค้าไม่พอใจกับเหคุการณ์ดังกล่าวและได้มีการคอมเพลนนายธัญชนกร :( </t>
  </si>
  <si>
    <t xml:space="preserve">ตรวจเช็คให้ดีว่าลูกค้าพาสุนัขเข้ามารับการรักษาและได้ใช้แพ็คเกจอะไรในการรักษาและรวมค่าห้องแล้วหรือยัง </t>
  </si>
  <si>
    <t>0238</t>
  </si>
  <si>
    <t>Thanchanakorn0238</t>
  </si>
  <si>
    <t>21250018645</t>
  </si>
  <si>
    <t>1100 บาท (รายละเอียดยอด230ที่เพิ่มเข้ามาได้ทำการเขียนmemoเพื่ออธิบายแล้ว</t>
  </si>
  <si>
    <t>Marina(มารีน่า) 15759</t>
  </si>
  <si>
    <t>JL</t>
  </si>
  <si>
    <t>ลูกค้ามาตรวจเลือดเพื่อทำ CT scan ในวันที่ 15 แต่ตรวจเลือดวันที่ 14 ในวันที่ 14 หมอคีย์คำสั่งตรวจเลือดซ้ำไปสองรอบ เจ้าหน้าที่แล็บมาเห็นว่ายังมีคำสั่งค้างตรวจอยู่และมีเลือดที่เจาะมาให้ เลยตรวจซ้ำ ทั้งที่เก็บตรวจไปเสร็จแล้วตั้งแต่เมื่อวาน ทำให้คิดเงินเกิน ต้องทำเรื่องคืนเงินลูกค้า</t>
  </si>
  <si>
    <t>หมอควรเช็คคำสั่งแล็บหลังคีย์เสร็จว่าถูกต้องหรือเปล่า</t>
  </si>
  <si>
    <t>หมอ FHA</t>
  </si>
  <si>
    <t>41250005302</t>
  </si>
  <si>
    <t>ค่าตรวจ CBC&amp;DIFF IDEXX 300 บาท และค่าตรวจ CHEM10 1,300 บาท</t>
  </si>
  <si>
    <t>Avanza (15947)</t>
  </si>
  <si>
    <t>หมอคีย์คำสั่งตรวจ CBC ซ้ำ</t>
  </si>
  <si>
    <t>เช็คคำสั่งแล็บก่อนกดตกลงตรวจ หรืออย่างน้อยควรเช็คก่อนให้ลูกค้าชำระเงิน</t>
  </si>
  <si>
    <t>หมอ AU</t>
  </si>
  <si>
    <t>41250005150</t>
  </si>
  <si>
    <t>ค่าตรวจ CBC&amp;DIFF IDEXX 300 บาท</t>
  </si>
  <si>
    <t>Bonbon9218</t>
  </si>
  <si>
    <t>Jay kim (Phanupat เขียนแทน)</t>
  </si>
  <si>
    <t>0989782337</t>
  </si>
  <si>
    <t>ไม่เปิดเช็คอิน ทำให้เคสรอหมอค่อนข้างนาน ขาดการประสานงานต่อ</t>
  </si>
  <si>
    <t>ขอโทษลูกค้า ตักเตือนในทีม</t>
  </si>
  <si>
    <t>0235</t>
  </si>
  <si>
    <t xml:space="preserve">บอส แพรวา </t>
  </si>
  <si>
    <t>Victoria (14942) Walter (14941)</t>
  </si>
  <si>
    <t xml:space="preserve"> Ana Vang   (10419)</t>
  </si>
  <si>
    <t>094 320 2919</t>
  </si>
  <si>
    <t>เจ้าของพิมพ์แจ้งมาว่า - Its been a week now and I am highly dissatisfied that I need to ask so many times for the fecal test results! I feel I am being disrespected Tuesday you said it Tuesday, yesterday that its today, today that its tomorrow - เนื่องจากเจ้าของส่งตรวจแลปและแจ้งขอผลมา ทาง Front เช็คแล้วว่าผลออกแล้วจึงแจ้งขอผลจากคุณหมอไปก่อนในวันที่ยังไม่เข้าเวร แต่ไม่ได้รับการตอบกลับ จึงแจ้งลูกค้าไปใหม่ว่าหมอจะเข้ามาออกตรวจวันศุกร์ แต่วันศุกร์หมอยังไม่มีการติดต่อกลับลูกค้าไป ทำให้ลูกค้าไม่พอใจ</t>
  </si>
  <si>
    <t>ประสานงานกับหมอเรื่อยๆ</t>
  </si>
  <si>
    <t>Front</t>
  </si>
  <si>
    <t>16258</t>
  </si>
  <si>
    <t>สาธิต</t>
  </si>
  <si>
    <t>0804403799</t>
  </si>
  <si>
    <t>จ่ายยาผิด mg จาก enro 15 mg เป็น 50 mg</t>
  </si>
  <si>
    <t>เช็คอีกรอบก่อนการจ่ายยา</t>
  </si>
  <si>
    <t>1039</t>
  </si>
  <si>
    <t>พี่ปัด</t>
  </si>
  <si>
    <t>สีนิฬ (10187)</t>
  </si>
  <si>
    <t>Grace</t>
  </si>
  <si>
    <t>0968386780</t>
  </si>
  <si>
    <t>ข้างล่างไม่แจ้งหมอมิ้มว่าสีนิฬมาแล้ว พี่นั่งรอนานแล้วน้องพยาบาลเนยเดินมาทักและแจ้งหมอมิ้มให้</t>
  </si>
  <si>
    <t>หมอมิ้มมาตรวจน้องทัน</t>
  </si>
  <si>
    <t>น้องเนย</t>
  </si>
  <si>
    <t>คากิ 16591</t>
  </si>
  <si>
    <t>สาขาเพชรเกษมได้รับเรื่องจากลูกค้า คุณสมพร</t>
  </si>
  <si>
    <t>0854882947</t>
  </si>
  <si>
    <t>ลูกค้าโทรไปทำนัดU/Sตอนเที่ยงคืนFrontแจ้งว่ามาได้พรุ่งนี้ตอน10โมง พอลูกค้ากำลังเดินทางใกล้ถึงรพมีคนโทรไปแจ้งว่าคิว U/Sเต็มได้คิวอีกทีเป็นวันศุกร์ลูกค่าแจ้งว่าเสียเวลามาก</t>
  </si>
  <si>
    <t>ลูกค้ามาสาขาเพชรเกษมแทนFrontขอโทษลูกค้าและแจ้งรับเรื่องมาแก้ไข</t>
  </si>
  <si>
    <t>0251</t>
  </si>
  <si>
    <t>ตอง กับ แป้ง</t>
  </si>
  <si>
    <t>ใบบัว 2311</t>
  </si>
  <si>
    <t>จับแมวใส่คอลล่าระหว่างจะทำการตรวจ u/s แมวค่อนข้างดื้อและดุ เลยทำให้เล็บไปเกี่ยวกับคอลล่า และเล็บหลุด</t>
  </si>
  <si>
    <t>ให้คุณหมอตรวจและทำแผลให้แมว + ขอโทษลูกค้าเบื้องต้น</t>
  </si>
  <si>
    <t>โบว์ปัน + ตูน</t>
  </si>
  <si>
    <t>21250019640</t>
  </si>
  <si>
    <t>Cash</t>
  </si>
  <si>
    <t>อุปกรณ์ทำแผลและยาฆ่าเชื้อ</t>
  </si>
  <si>
    <t>16007 silver</t>
  </si>
  <si>
    <t>ชามา</t>
  </si>
  <si>
    <t>0641746919</t>
  </si>
  <si>
    <t>หมอแพลนหลังผ่าตัดถอนฟันให้ใส่คอลล่าพยาบาลIPDเผลอถอดคอลล่าออกทำให้น้องเกาข้างปากจนเป็นแผล</t>
  </si>
  <si>
    <t>ให้หมอทำแผลและจ่ายยาให้ไม่คิดค่าใช้จ่าย</t>
  </si>
  <si>
    <t>F.ชาดำ (7289) และ F.โซบะ(12724)</t>
  </si>
  <si>
    <t>คุณมาริสา</t>
  </si>
  <si>
    <t>0859195389</t>
  </si>
  <si>
    <t>มีแมวมารักษา2ตัว Frontแจ้งว่า มีนัดน้องชาดำ เชิญขึ้นชั้นMได้เลย แต่แม่พามา2ตัวและมีนัดทั้ง2ตัว กับแมวใส่กล่องมา ไม่มีใครช่วยถือเลย เป็นแบบนี้หลายครั้งมากๆแล้วค่ะ</t>
  </si>
  <si>
    <t>Cupid 16846</t>
  </si>
  <si>
    <t>Thanchanakorn</t>
  </si>
  <si>
    <t>0901199681</t>
  </si>
  <si>
    <t>คืนเงินมัดจำที่เหลือ ยอด290฿</t>
  </si>
  <si>
    <t>2038</t>
  </si>
  <si>
    <t>21250020723</t>
  </si>
  <si>
    <t>คืนเงินมัดจำที่เหลือ ยอด290฿ เข้า บช ลูกค้า</t>
  </si>
  <si>
    <t>Siam 13245</t>
  </si>
  <si>
    <t>Sandy</t>
  </si>
  <si>
    <t>0996644626</t>
  </si>
  <si>
    <t xml:space="preserve">ถูกคิดค่า Pet car </t>
  </si>
  <si>
    <t>21250019720</t>
  </si>
  <si>
    <t>นอกสถานที่ Pet Private Car ไม่เกิน 5Km / Pet Limo Serviceไม่เกิน 5km //400฿  คืนเงินเข้าPrepayment ที่ชื่อว่า Deposit ยอดเดิม200฿ ยอดคงเหลือ ณ ปัจจุบัน (6/10) คือ 181 คืนเข้ายอดนี้ครับ</t>
  </si>
  <si>
    <t>Pablo 4858</t>
  </si>
  <si>
    <t>ลูกค้าชำระเงินด้วยยอด 45,846.81 แยกเป็นมัดจำก้อน TL 43,054.01 แยกเป็นมัดจำก้อน LS  2,792.80  แต่ตอนกดทำเป็น Prepaymen ของก้อน TL กดผิดเป็น 43,054.10 ทำให้ยอดหายไป0.09สตางค์</t>
  </si>
  <si>
    <t>ซันเดย์ 16599</t>
  </si>
  <si>
    <t>สามีคุณ นุตธิดา</t>
  </si>
  <si>
    <t>0982585582</t>
  </si>
  <si>
    <t>Charge ค่าเลือดซ้ำ</t>
  </si>
  <si>
    <t>โทรแจ้งลูกค้าและขอโทษลูกค้าแล้ว ลูกค้าอยากขอคุยกับหมอเจ้าของไข้เพิ่มเติมเรื่อง treatment ที่ได้ทำไปทั้งหมด</t>
  </si>
  <si>
    <t>์ีนุ้ย</t>
  </si>
  <si>
    <t>21250019871</t>
  </si>
  <si>
    <t xml:space="preserve">	Blood Supply &amp; Cross Matching (Outsourced) / Blood Supply &amp; Cross Matching  ฿22,000.00	</t>
  </si>
  <si>
    <t>ซามูไร 9719</t>
  </si>
  <si>
    <t xml:space="preserve">้โบนุช ร้องเรียนแทน </t>
  </si>
  <si>
    <t>น้องกินขนนกเข้าไปขณะปล่อยให้เดินเล่นที่โรงแรม</t>
  </si>
  <si>
    <t xml:space="preserve">โทรแจ้งลูกค้า ให้หมอ RM ช่วย Ultrasound </t>
  </si>
  <si>
    <t>โบนุช</t>
  </si>
  <si>
    <t>ยังไม่ได้ Final bill  รบกวนKey  Damage ก่อนลูกค้าเข้ามารับน้อง</t>
  </si>
  <si>
    <t>3 รายการ ค่าแพทย์ตรวจOPD2 หมอ RM 290.00, Ultrasound Afast  RM 100บ. ยาLactulose Syr (HEPATOLAC) - 25 ml 200บาท</t>
  </si>
  <si>
    <t xml:space="preserve">ไข่ฟู (12650) </t>
  </si>
  <si>
    <t>Google review  ธรรมนูญ ตันชัชวาล  (9025)</t>
  </si>
  <si>
    <t xml:space="preserve">+66 84 691 3966 </t>
  </si>
  <si>
    <t>ผมเพิ่งได้อ่านรีวิวของโรงพยาบาล ซึ่งบางท่านอาจจะเจอประสบการณ์ที่ดี บางท่านอาจจะเจอประสบการณ์ที่เลวร้าย ผมจึงอยากแชร์ประสบการณ์ส่วนตัวและข้อสงสัยบางอย่างเพื่อให้ทางโรงพยาบาลพัฒนาปรับปรุงทั้งด้านระบบงาน บุคลากร -โรงพยาบาลโปรโมทว่า icu มีหมอ พยาบาล ตลอด 24 ชม. ซึ่งควรมีการ “เฝ้าระวังและเฝ้าสังเกตุอาการ ความผิดปกติตลอดเวลา” แต่ที่เจอกับตัว คือ โทรแจ้งตอนน้องไม่ไหวแล้ว และน้องกลับดาวหมาภายใน 10 นาทีหลังจากหมอโทรแจ้ง ทำให้ไปอยู่ในช่วงชีวิตสุดท้ายของน้องไม่ทัน กรณีนี้ก็ไม่ทราบว่า เพิ่งสังเกตุเห็น หรือ ไม่ได้สังเกตุ หรือ สังเกตุแล้วไม่รู้อาการ เพราะผมเข้าใจว่าถ้าได้สังเกตุและรับรู้ถึงความผิดปกติ ควรแจ้งได้เร็วกว่า 10 นาที ก่อนน้องไป -ไม่เข้าใจเรื่องการต่อเวรของหมอเวร ผมไปเยี่ยมน้อง ถามอาการน้อง หมอต้องไปหยิบชาร์ตบนโต๊ะมาไล่เปิดอ่าน ซึ่งในความคิดของผม หมอที่อยู่เวรควรทราบถึงอาการหรือพฤติกรรมที่ควรเฝ้าระวังของน้องแต่ละตัวต่อจากหมอเวรคนก่อน ไม่ใช่มาดูข้อมูลตอนเจ้าของถาม -น้องได้อัลตร้าซาวน์ เอ็กซเรย์ ตรวจเลือด ทำให้รู้ว่าเป็นโรคไตเรื้อรัง และมีปัญหาตับอ่อนและถุงน้ำดี ซึ่งหมอแนะนำให้กินอาหารโรคไต โดยหลังจากนั้นน้องได้มีอาการเกี่ยวกับตับอ่อน ซึ่งหมอ ER แจ้งว่าเกิดจากการกินอาหารโรคไต(ซึ่งมีไขมันสูง) จึงสงสัยว่า ทำไมหมอเจ้าของไข้ถึงไม่คำนึงถึงผลกระทบของอาหารโรคไตที่มีต่อตับอ่อน หรือ หมอ ER เข้าใจผิด -น้องให้อ๊อกซิเจนในตู้ ซึ่งประตูตู้เจาะรูแต่ก็ไม่ได้เอาอะไรมาคลุมประตู ซึ่งทำให้อ๊อกซิเจนรั่วออก พอสอบถามได้ความว่า จะใส่เป็น หน้ากากอ๊อกซิเจนให้น้อง แต่ก็เห็นว่าหน้ากากตั้งอยู่ในตู้เฉยๆ ไม่ได้สวมน้อง (ซึ่งผมท้วงไป 2 ครั้ง ก็ไม่แน่ใจว่าสุดท้ายแล้วได้สวมหน้ากากให้น้องหรือคลุมประตูแล้วหรือไม่) -เป็นโรงพยาบาลสัตว์ที่ใหญ่โต และมีชื่อเสียง แต่การประสานงานต่างๆ เข้าขั้นแย่ หลายครั้งที่โทรไปไม่รับ ไลน์ไปกว่าจะอ่านเป็นชั่วโมง (รีวิวจากท่านอื่นๆ ในอดีต ก็มีในเรื่องนี้ และปัจจุบันก็ยังคงมีปัญหานี้อยู่) ซึ่งในบางครั้งระยะเวลาที่ใช้ในการติดต่อคือเรื่องสำคัญสำหรับชีวิตสัตว์เลี้ยง ขึ้นชื่อว่าโรงพยาบาลควรติดต่อได้รวดเร็ว และมีคนประสานงาน สแตนบายตลอดเวลา -ในรอบนี้ที่น้องพักอยู่ icu ไม่มีการแจ้งอาการใดๆของน้องเลยนอกจาก การป้อนอาหาร การขับถ่าย การให้ยา ซึ่งความเห็นผมควรจะมีการแจ้งรายละเอียดสภาพอาการของน้องด้วย เช่น ตัวสั่นหรือไม่ ความดันเท่าไร มีอาการคงที่ ดีขึ้น หรือแย่ลงยังไง (คิดค่าพยาบาล-หมอward วันนึงเกือบ 1,000 บาท ตรวจอะไรไม่เคยแจ้งมา) -ในความรู้สึกส่วนตัว พยาบาลบางท่าน/หมอบางท่าน ไม่ได้ดูใส่ใจหรือดูเป็นห่วงน้องหมาเลย ประตูหนีบสายน้ำเกลืออยู่ก็ไม่สนใจ ถึงน้ำเกลือยังไหลปกติ แต่เวลาน้องหมาขยับจะโดนสายน้ำเกลือที่ประตูหนีบอยู่รั้งไว้ และเวลาไปเยี่ยมเห็นน้องหมาน้ำตาไหล มีคราบน้ำตา ขี้ตา ก็น่าจะดูแลเช็ดทำความสะอาดให้น้องหน่อย (ในบิลก็คิดค่าดูแลเป็นรายวันอยู่แล้ว) น้องใส่คอลล่าร์ทำให้กินน้ำไม่ได้ก็ปล่อยอยู่อย่างนั้น จนกระทั่งเจ้าของไปเยี่ยมถอดคอลล่าร์ออก น้องกินน้ำเยอะมาก ไม่รู้อดมานานแค่ไหน ป้อนอาหารเสร็จไม่ได้เช็ดตามตัวให้น้องเพราะมีคราบอาหารแห้งเกรอะติดตามขนน้อง ทั้งหมดที่กล่าวมา เป็นความสงสัยส่วนตัวที่เก็บไว้ ไม่กล้าถามหรือพูดตอนที่น้องเข้ารับการรักษา เนื่องจากเกรงว่าถ้าเจ้าหน้าที่ผู้ดูแลไม่พอใจ อาจจะดูแลน้องหมาไม่ดีกว่าเดิม ทั้งนี้สามารถชี้แจง-อธิบาย ได้ในที่นี้เลยครับ เผื่อมีท่านอื่นมาอ่านรีวิว จะได้เข้าใจได้ถูกต้อง และไม่จำเป็นต้องขออภัย ไม่จำเป็นต้องแจ้งว่าจะปรับปรุง แต่ขอให้ "ชี้แจงและลงมือแก้ไขอย่างจริงจัง" เพื่อให้ผู้เข้าใช้บริการได้รับการบริการและประสบการณ์ที่ดี สุดท้ายอยากจะฝากข้อความถึง ผู้บริหาร-บุคลากรของโรงพยาบาล ผมเข้าใจว่าทำธุรกิจต้องหากำไร แต่อยากให้มีการบริการที่ดี คุ้มค่ากับเงินที่ผู้ใช้บริการต้องเสียไป ขอให้คุณหมอและพยาบาลทุกท่านคงจรรยาบรรณ จริยธรรม นำความรู้ที่ศึกษามา มุ่งรักษา "ชีวิต" ของสัตว์ทุกๆตัว เอาใจเขามาใส่ใจเรา ในสายตาท่านสัตว์ตัวนั้นอาจเป็นแค่แมวหมาตัวนึง แต่ในใจของเจ้าของ น้องทุกตัวคือครอบครัว</t>
  </si>
  <si>
    <t>ตูนกับนุ้ยได้คุยกับเจ้าของก่อนที่จะ Discharge กลับไป และทางหมอเก้ที่เป็นหมอเจ้าของไข้ ได้คุยกับเจ้าของหลัง discharge และได้ส่ง Medical record ทั้งหมดให้กับทางเจ้าของค่ะ</t>
  </si>
  <si>
    <t>นุ้ย ตูน หมออีฟ</t>
  </si>
  <si>
    <t>ละมุนใจ (15941)</t>
  </si>
  <si>
    <t>Google review -  กิรดา จิตงามสุจริต  (11345)</t>
  </si>
  <si>
    <t xml:space="preserve">+66 62 892 3556 </t>
  </si>
  <si>
    <t>ผิดหวังกับการใช้บริการที่โรงพยาบาลสัตว์แห่งนี้ ไม่มีความรับผิดชอบ ไม่สื่อสารกับเจ้าของสัตว์เลี้ยง และ ไม่เห็นความสำคัญของชีวิตสัตว์เลี้ยง  วันอาทิตย์ที่ 28 กันยา ได้พาน้องแมวมารักษาเนื่องจากกลืนเศษพลาสติกเข้าไป คุณหมอได้ให้ยาอาเจียนผ่านทางเส้นเลือด ซึ่งได้ผลดีและเสร็จสิ้นประมาณเวลา 13:00 น. เนื่องจากน้องมีความเครียดและกลัวมาก จึงปัสสาวะรดตัวเองในกระเป๋าแมว เราจึงถามพยาบาล เรื่องการอาบน้ำ และได้รับแจ้งว่ามีคิวอาบน้ำเวลา 15:00 น. เลยตัดสินใจให้น้องพักที่โรงแรมของโรงพยาบาลเพื่อรออาบน้ำ น้องยังมีผ้าพันแผลกันเลือดอยู่ที่ขา เราตั้งใจจะถอดเอง แต่พยาบาลโรงแรมแจ้งว่าจะเป็นคนจัดการให้เอง  เมื่อถึงเวลารับแมวตามที่นัดไว้ตอน 16:30 น. ที่ห้อง grooming กลับได้รับแจ้งว่าน้องยังไม่ได้อาบน้ำ และอ้างว่าเป็น “คิวแทรก” โดยที่ไม่เคยมีการแจ้งล่วงหน้าหรืออัปเดตสถานะใด ๆ ทั้งสิ้น ไม่มีไลน์ ไม่ติดต่อมาเลยว่าจะล่าช้า ขณะนั้นน้องแมวอยู่ในสภาพตัวเปียกจากฉี่ มีผ้าพันแผล เพราะพยาบาลที่รับปากว่าจะถอดให้ ไม่ได้ถอดผ้าพันแผลให้น้องเลยตั้งแต่เวลา 13:00 น. ถึง 16:30 น.ที่เราขึ้นไปดูน้องเอง เราต้องถอดผ้าพันแผลให้น้องเอง ที่แย่กว่านั้นคือ น้องไม่ได้กินข้าวเลยตั้งแต่เวลา 13:00 น. เพราะเรากะว่าจะรับน้องตอน 16:30 น. แล้วพากลับบ้านไปกิน แต่พอเจอปัญหาเรื่องความล่าช้า และไม่มีใครแจ้งให้ทราบล่วงหน้า เราจึงไม่ได้เตรียมอาหารมาด้วย และในห้องรอก็ไม่มีทรายแมวให้น้องขับถ่ายเลย น้องจึงไม่ได้ขับถ่ายตั้งแต่บ่ายโมง  น้องแมวดูเครียดและไม่สบายตัวมาก เราขอให้น้องได้อาบน้ำโดยเร็วที่สุด แต่ก็ไม่ได้รับการดูแลหรือการสื่อสารใด ๆ จากทางพนักงานเราต้องนั่งรอ และเป็นฝ่ายติดตามเอง จนน้องได้อาบน้ำจริงในเวลา 17:30 น.  เมื่อวานรู้สึกสงสารน้องมากๆ ไม่อยากกลับไปโรงพยาบาลนี่อีก รู้สึกได้เลยว่าเค้าไม่ได้แคร์หรือสนใจน้องแมวของเราจริงๆ โฆษณาตัวเองว่าเป็นโรงพยาบาลพรีเพี่ยมแต่ละเลยกับสัตว์เลี้ยง ไม่อยากใครให้ได้มาเจอประสบการณ์แย่ๆแบบนี้  อัพเดท: อีเมลลไปหาผู้จัดการตามอีเมลลที่ได้รับมา ส่งไปวันอาทิตย์เพื่อขอคำขอโทษจากโรงพยาบาลภายในวันพุธที่ 1 ตุลา วันนี้วันที่ 1 ตุลาไม่ได้รับอีเมลล จึงเขียนอีเมลลไปอีก แต่โดนbloc จากโรงพยาบาล</t>
  </si>
  <si>
    <t>โทรขอโทษลูกค้า และ ได้ทำการคืนเงินค่าบริการอาบน้ำ</t>
  </si>
  <si>
    <t>โดนัท</t>
  </si>
  <si>
    <t>21250019961</t>
  </si>
  <si>
    <t>ค่าอาบน้ำ ค่ารถ Grab</t>
  </si>
  <si>
    <t>Google review Chanodom Phongsitthinon</t>
  </si>
  <si>
    <t>แย่ทุกแผนก ไม่แนะนำครับ 1.ลูกหมาอาการไม่ดีแต่หมอไม่ปฐมพยาบาลหรือหาทางช่วยเหลือเบื้องต้น มั่วแต่จะขอให้ตรวจทุกอย่างเพื่อจะได้ให้ยอดบิลสูง มีโปรโมชั่นไม่แจ้ง พอถามบอกเดียวค่อยว่ากัน อย่างนู้นอย่างนี้สรุป แอดมินบอกใช่โปรโมชั่นไม่ได้เพราะการตรวจไม่มีในโปร งง เหมือนคนโง่ อาจจะโง่จริงเลยโดนไปแบบนี่ 2.หมอดุเหมือนไม่ได้อยากจะจับน้องหมาเรา สังเกตได้ เป็นหมอสัตว์โดยเฉพาะโรงพยาบาลของน้องหมากับแมวถ้าไม่ชอบน้องหมาหรือ น้องแมวอย่างใดอย่างนึง ควรพิจารณานะครับว่าควรทำต่อไปไหม 3.ให้ออกซิเจนน้อง คิด1 ชั่วโมงแต่ให้จริง ไม่ถึง ครึ่งชั่วโมง แต่คิดราคา 1 ชั่วโมง สอบถามแอดมิน อ่านข้อความแต่ไม่ตอบ อีกสองวันต่อมาถามไปอีกอ่านแต่กว่าจะตอบนานมาก บอกเดียวถามหาข้อมูลให้ งง 4.บอกยกเลิกนัด follow up ทั้งหมด เพราะคงไม่กลับไปใช่บริการอีก แต่ก็ยังคงโทรมาทั่งก่อนวันนัดและวันนัด ทำงานไม่มีการสื่อสารกันเลยเหรอครับ  ผิดหวังครับ เห็นโฆษณาอย่างดีสถานดุดีแต่ไม่คิดเลยว่าจะเป็นแบบนี่ ถ้าคิดแต่แค่ต้องการรายได้หรือบิลสูง ๆ จากลูกค้า ถือว่าผิดหวังครับ ผม ยอมจ่ายนะถ้าบริการดีและดูแลน้องหมาผมดีกว่านี่ คิดดีดีก่อนนะครับจะได้ไม่ผิดหวังเหมือนผม</t>
  </si>
  <si>
    <t>Google review- mk19</t>
  </si>
  <si>
    <t>ก่อนวันพาน้องหมาไปทำหมัน เราไลน์สอบถามข้อมูลกับทางโรงพยาบาลก่อน ได้รับแจ้งว่าค่าทำหมัน 8,500 บาท ไม่มี บวกเพิ่ม (แต่ยังไม่รวมค่ายา และคอลล่ากันเลีย) ตอนแรกก็งงว่า “ไม่มีบวกเพิ่ม” แล้วทำไมยังมีค่ายากับค่าคอลล่า? แต่ก็ไม่ได้ติดใจ เพราะมีการแจ้งไว้ล่วงหน้า  ต่อมาเลยสอบถามเพิ่มว่า ถ้าจะขูดหินปูน ต้องเพิ่มเท่าไหร่? ทางไลน์ตอบกลับมาว่า 3,000 - 4,000 บาท เราโอเคกับราคานี้ จึงตัดสินใจพาน้องไปทำหมันที่นี่ เพราะคิดว่าค่าใช้จ่ายจะอยู่ที่ประมาณ 8,500 + 3,000-4,000 + ค่ายา + ค่าคอลล่า  วันที่เข้าไปทำหมัน วันแรกเจอคุณหมอ เจาะเลือดเสร็จ เราถามหมออีกครั้งว่า ค่าขูดหินปูนเท่าไร? หมอบอก 5,000 - 6,000 บาท เราเลยแย้งไปว่า ตอนสอบถามในไลน์บอก 3,000 - 4,000 บาท หมอก็บอกว่าอาจจะ “จำผิด”  หลังจากทำทุกอย่างเสร็จ ไปที่ฝ่ายการเงิน เราตัดสินใจถามอีกครั้ง ก็ได้รับคำตอบว่า 5,000 - 6,000 บาท เหมือนกัน เราก็งงว่าสรุปตกลงราคาเท่าไรกันแน่? ทำไมแจ้งไม่ตรงกัน? ต่างกันตั้ง 2,000 บาท จริงๆ เราจ่ายไหว แต่รู้สึกไม่แฟร์ เหมือนโดนเอาเปรียบ แจ้งราคาหนึ่ง คิดอีกอย่างหนึ่ง  เท่านั้นยังไม่พอ มีการบวกค่าบริการอีก 160 บาท พอถามไปก็บอกว่าเป็น “ค่าอ่านฟิล์ม” เรายิ่งงง เพราะตอนแรกบอกว่าไม่มีบวกเพิ่ม แล้วนี่คืออะไรอีก? สรุปคือ ค่าทำหมันที่บอกว่า “ไม่มีบวกเพิ่ม” จริงๆ แล้ว มีบวก หลายรายการ ไปอ่านรีวิวของคนอื่นก็พบว่ามีประสบการณ์คล้ายกัน  อยากให้โรงพยาบาล ปรับปรุงการสื่อสาร และทำให้ทุกอย่างมันชัดเจน</t>
  </si>
  <si>
    <t>ต้มต้ม17180</t>
  </si>
  <si>
    <t>คุณกชลี สุรียะกำพล</t>
  </si>
  <si>
    <t>0813720017</t>
  </si>
  <si>
    <t>มาฝากdaycare ตอบรับกลับสุนัขตัวเปียก มีกลิ่นเหม็น</t>
  </si>
  <si>
    <t xml:space="preserve">ไลน์ไปรับเรื่อง ขอโทษ ลค แจ้งขอโอกาสปรับปรุง(โทรไป3ครั้ง ลค ไม่รับสาย) เรียกอบรม พนง ที่เกี่ยวข้อง </t>
  </si>
  <si>
    <t>ปภิชญา</t>
  </si>
  <si>
    <t>Coco 8991</t>
  </si>
  <si>
    <t>น้องหมาแทะสิ่งแปลกปลอม(สปริงล็อกคอลล่า)</t>
  </si>
  <si>
    <t xml:space="preserve">แจ้งหมอในเวรและหมอเจ้าไข้ กระตุ้นอาเจียนและทำ endo </t>
  </si>
  <si>
    <t>ตูน/ฝนรุ่ง/ขวัญ/แอน</t>
  </si>
  <si>
    <t>ยูโร</t>
  </si>
  <si>
    <t>Google review-  Be Be</t>
  </si>
  <si>
    <t>บริการแย่มาก แมวโดนผึ้งต่อยปากบวม ก่อนมาไลน์ถามบอกมีหมอพร้อมตรวจ มารอหมอเกิน 1 ชั่วโมง ไม่มีหมอตรวจ ไม่มีเจ้าหน้าที่มาแจ้งอะไร ต้องไปถามถึงทราบว่าหมอทำอัลตราซาวน์อยู่ ต้องรออีก 30 นาที กลับไป รพ สัตว์ทองหล่อเหมือนเดิม!!! ว่าจะมาลองเห็นคนรีวิวดี</t>
  </si>
  <si>
    <t>พี่ส้มโอโทรคุยกับลูกค้า</t>
  </si>
  <si>
    <t>Google Review- Chanok</t>
  </si>
  <si>
    <t>การสื่อสารด้าน Non-Clinical</t>
  </si>
  <si>
    <t>โทรไปถามราคาฉีดวัคซีน แจ้งถามราคาไปกับเจ้าหน้าที่รับโทรศัพท์ พอถามจบก็เงียบไปเลย ไม่มีการตอบรับหรืออะไรได้ยินแต่เสียงคุยกันเอง รอสายประมาณนาที ไม่มีสิ่งใดๆตอบกลับมา คือ surprise กับบริการที่ได้รับอยู่ ไม่คิดว่าเป็นแบบนี้  Update และคอนเฟิม ลองให้โอกาศอีกครั้ง กับช่องทาง line ไปสอบถามเรทราคาอาบน้ำแมว ถามสองรอบ คำตอบที่ได้คือแบบนี้ หัวจะปวดกับการบริการ จริงๆค่ะ คือที่บ้านมีแมวหลายตัว หลายพันธ์จะให้มาบอกครบทุกตัวก็ไม่สะดวก แล้วน้ำหนัก 0 คือแมวอะไร แค่ส่ง price list ที่แปะไว้ที่โรงพยาบาทมาให้ก็ยังจะดีเสียกว่า</t>
  </si>
  <si>
    <t>Hippo (15757)</t>
  </si>
  <si>
    <t>Jidapa</t>
  </si>
  <si>
    <t>การดูแล/รักษาผู้ป่วย - IPD</t>
  </si>
  <si>
    <t>*สัตว์เลี้ยงเสียชีวิตแล้ว* ช่วงเวลาที่รักษาอยู่ที่อารักษ์ เจ้าของมองว่าในขณะที่เราต้องรอหมอเฉพาะทางด้านระบบประสาทเข้ามาตรวจสัปดาห์ละครั้ง ทำไมเราไม่ส่งไปตรวจที่อื่นต่อ สัตว์ต้องรอ 7 วันเพื่อตรวจทำให้อาการแย่ลง และเสียชีวิตในเวลาต่อมา</t>
  </si>
  <si>
    <t>ได้มีการตกลงกับทีมหมอในกรณีต้องรอตรวจนาน อาจเสนอเบื้องต้นว่านำใบส่งตัวไปตรวจกับโรงพยาบาลอื่นได้หากได้คิวที่ดีกว่า เน้นมองที่ patient safety มากกว่าเดิม</t>
  </si>
  <si>
    <t>หมอ JR, JL, FHA, HAM</t>
  </si>
  <si>
    <t>Mikki (8895)</t>
  </si>
  <si>
    <t>Anatasiia Putsankova</t>
  </si>
  <si>
    <t xml:space="preserve"> +66 81 738 2100</t>
  </si>
  <si>
    <t>การดูแล/รักษาผู้ป่วย - OPD</t>
  </si>
  <si>
    <t>แมวเป็นโรคผิวหนัง ลูกค้าอยากให้ตรวจรอยโรคสองตำแหน่งเอง แต่พอคิดบิลออกมาบอกรอยโรคอยู่ใกล้ๆกันทำไมต้องคิดสองที่ ที่อื่นที่ฉันไปตรวจถ้ามา follow up เขาไม่คิดเงินค่าตรวจใต้กล้องจุลด้วยซ้ำ ค่าใช้จ่ายอื่นๆก็แพงกว่าโรงพยาบาลอื่น หลักๆคือไม่พอใจเรื่องราคา</t>
  </si>
  <si>
    <t>หมอต้องแจ้งก่อนตรวจ ถ้ามีการเก็บตัวอย่างตรวจหลายตำแหน่งต่อให้อยู่ใกล้กันก็คิดราคาตามจำนวนตำแหน่งที่เก็บตรวจตามจริง และอาจให้ลูกค้าเซ็นรับทราบก่อนในกรณีที่เป็นต่างชาติและอาจไม่เข้าใจด้านภาษา</t>
  </si>
  <si>
    <t>หมอ KP และฟร้อนหนิง</t>
  </si>
  <si>
    <t>Heart17110</t>
  </si>
  <si>
    <t>ชิดชนก ก่อทวีชัย</t>
  </si>
  <si>
    <t>0824629924</t>
  </si>
  <si>
    <t>พยบ ทำหัตถาร(swabอุจจาระ)โดยพลการ</t>
  </si>
  <si>
    <t>คุณหมอโทรคัยและขอโทษ จข ผจก แจ้ง หน เนริส ให้ตักเตือน และอบรมในแผนก</t>
  </si>
  <si>
    <t>พยบ บีม Vet Music</t>
  </si>
  <si>
    <t>Google Review- Natnicha Ruangsumraj</t>
  </si>
  <si>
    <t>น้องไปอาบน้ำตัดขน กลับมาเท้าเจ็บ เดินกะเผลก ไปครั้งแรก และไม่ประทับใจคะ</t>
  </si>
  <si>
    <t>Brian Wilson</t>
  </si>
  <si>
    <t>ลูกค้าตอบ Email กลับมาแล้วไม่มีใคร Response กลับ</t>
  </si>
  <si>
    <t>Test</t>
  </si>
  <si>
    <t>test</t>
  </si>
  <si>
    <t>การประสานงานภายใน</t>
  </si>
  <si>
    <t>ซันเดย์ (16599)</t>
  </si>
  <si>
    <t xml:space="preserve"> นุตธิดา ไชยวสุ  (7596) </t>
  </si>
  <si>
    <t xml:space="preserve">098 258 5582  </t>
  </si>
  <si>
    <t>การสื่อสารด้าน Clinical</t>
  </si>
  <si>
    <t>ลูกค้าแจ้งว่าคุณหมอไม่ได้แจ้งว่าจะมีการ X-ray, Ultrasound ก่อนที่จะทำ จึงขอคืนเงินเข้า Prepayment ไวใช้ในครั้งต่อไป</t>
  </si>
  <si>
    <t>แจ้งขอโทษลูกค้า</t>
  </si>
  <si>
    <t>นุ้ย ส้มโอ</t>
  </si>
  <si>
    <t>draft</t>
  </si>
  <si>
    <t>ค่าแพทย์อ่านXray   THORAX-VD (อก)   THORAX-RIGHT LAT (อก)   ABDOMEN-RIGHT LAT(ท้อง)   ABDOMEN-VD (ท้อง)   ค่าแพทย์เฉพาะด้านOPD3   ค่าแพทย์OnCall   ค่าแพทย์เฉพาะด้านOPD3   Ultrasound Abdomen  </t>
  </si>
  <si>
    <t>COCO 8991</t>
  </si>
  <si>
    <t>ตูน พยาบาล</t>
  </si>
  <si>
    <t>น้องกินสปริงคอลล่า ขณะที่พักอยู่ที่ IPD ของเรา</t>
  </si>
  <si>
    <t>แจ้งลูกค้าและพาไป Ultrasound, คีบออก</t>
  </si>
  <si>
    <t>21250021478</t>
  </si>
  <si>
    <t>Damage with VAT 17023.32, Damage no VAT 703</t>
  </si>
  <si>
    <t>คิ้วเข้ม 14372</t>
  </si>
  <si>
    <t>หมอป่าน</t>
  </si>
  <si>
    <t>ผ้าก๊อซหาย คาดว่าน้องกินเข้าไป</t>
  </si>
  <si>
    <t xml:space="preserve">พาไป Ultrasound และให้ยาช่วยให้อาเจียน </t>
  </si>
  <si>
    <t>ยอดรวม 4892.8</t>
  </si>
  <si>
    <t>อองรี</t>
  </si>
  <si>
    <t>พิศุทธิ์</t>
  </si>
  <si>
    <t>0963514151</t>
  </si>
  <si>
    <t>แมวมีอาการอาเจียน 4รอบ แจ้งทางโรงพยาบาลให้หมอโทรกลับ เพราะกังวลและอยากทราบว่าควรมา Admit  หรือไม่ รอทั้งคืนไม่มีใครติดต่อมา ไม่แน่ใจว่าถ้าไม่พร้อมให้บริการจะเปิด 24ชั่วโมงทำไมหรอครับ ถ้าใช้คำพูดของลูกค้าตรงๆอีก 1 ประโยคคือ "แค่ Simple operation ยังทำไม่ได้ จะไปทำอะไรได้ครับ"</t>
  </si>
  <si>
    <t>0107</t>
  </si>
  <si>
    <t>กัน</t>
  </si>
  <si>
    <t xml:space="preserve">Mocha (14466) </t>
  </si>
  <si>
    <t>มนต์สนันตน์ วิทยพานิช</t>
  </si>
  <si>
    <t>+66 92 264 3838</t>
  </si>
  <si>
    <t xml:space="preserve">สัตว์มีอาการภูมิแพ้ทางผิวหนังกำเริบในระหว่างที่ฝากเลี้ยง Hotel (มียาป้อนเป็น prednisolone อยู่) เจ้าของแจ้งว่าเกิดจากการดูแลรักษาความสะอาดที่ไม่เหมาะสม และให้อาหารไม่ตามคำสั่งของเจ้าของ </t>
  </si>
  <si>
    <t xml:space="preserve">ทำความสะอาดและเสนอแนวทางการรักษาให้ แต่เจ้าของปฏิเสธและเลือกที่จะไปรักษากับ รพ. ที่รักษาประจำ </t>
  </si>
  <si>
    <t>หมอทราย</t>
  </si>
  <si>
    <t>ยังไม่เคยมาใช้บริการ</t>
  </si>
  <si>
    <t>0946236624</t>
  </si>
  <si>
    <t>เจ้าขอโทรเข้ามา 04.38 น. เพื่อสอบถามจะนำสัตว์ป่วยเข้ามารักษา แต่พนักงานที่รับสายมีน้ำเสียงงัวเงียเหมือนเพิ่งตื่นนอน และพนักงานอีกคนถามกลับว่าสะดวกมาช่วงเช้าไหม เจ้าของรู้สึกไม่พอใจเนื่องจากสัตว์มีอาการอาเจียน 10 กว่ารอบซึ่งเจ้าของรอดูอาการแล้วไม่ดีเลยอยากพามา</t>
  </si>
  <si>
    <t>โทรสอบถามเพิ่มเติม และอธิบายให้ข้อมูลเจ้าของเพิ่ม เจ้าของรับฟัง</t>
  </si>
  <si>
    <t>0116</t>
  </si>
  <si>
    <t>Mars (10330)</t>
  </si>
  <si>
    <t xml:space="preserve"> Dallar (Shears)</t>
  </si>
  <si>
    <t xml:space="preserve"> +66 61 021 3734</t>
  </si>
  <si>
    <t>ค่าใช้จ่าย</t>
  </si>
  <si>
    <t>เจ้าของไม่พอใจเรื่องการคิดค่าบริการที่ไม่ชัดเจน (แค่มาตัดเล็บแต่ทำไมต้องคิดค่าบริการโรงพยาบาลและต้องนัดเจอหมอ) สัตว์ค่อนข้างดิ้นและไม่ยอมให้ทำง่าย ๆ ต้องใช้เจ้าของผู้ชายและผู้ช่วยผู้ชายช่วยกันจับบังคับ และในระหว่างตัดสัตว์ดิ้นมากทำให้มีบางเล็บมีเลือดออก ช่างได้ใช้ผงห้ามเลือดห้ามจนแน่ใจว่าเลือดหยุดไหลแล้วและหลังจากตัดเล็บเจ้าของพาสุนัขเดินกลับระยะทางประมาณ 1 กม. หลังจากนั้นก็มีเลือดไหลอีกเจ้าของเลยไปโพสต์ลงใน google review</t>
  </si>
  <si>
    <t>โทรไปสอบถามอาการสัตว์เพิ่มเติม แต่เจ้าของด่าหยาบคายและแจ้งว่าไม่ต้องติดต่อกลับมาอีก</t>
  </si>
  <si>
    <t>0117</t>
  </si>
  <si>
    <t>มีโชค (14653)</t>
  </si>
  <si>
    <t xml:space="preserve">อิสรออิง มะลี  (10422) </t>
  </si>
  <si>
    <t>+66 84 731 9631  มีโชค (14653)</t>
  </si>
  <si>
    <t>แมวมาด้วยอาการจับตามตัวแล้วมีอาการเจ็บ ให้ข้อมูลไม่ชัดเจน หมอ x-ray แจ้งว่าเป็น OA เลยนัดให้มาตรวจกับหมอเฉพาะทาง แต่หลังจากนั้นพบว่าเป็นฝี</t>
  </si>
  <si>
    <t>ติดต่อให้พากลับมาตรวจ แต่เจ้าของไปรักษาที่อื่นแล้ว</t>
  </si>
  <si>
    <t>หมอโบ๊ท</t>
  </si>
  <si>
    <t>คุมะ1200</t>
  </si>
  <si>
    <t>คุณสิริกาญจน์</t>
  </si>
  <si>
    <t>0815713116</t>
  </si>
  <si>
    <t>แม่บ้าน</t>
  </si>
  <si>
    <t>บริเวณปล่อยเดินขับถ่ายไม่สะอาด อาคารจะจุดที่เป็นอันตรายต่อสัตว์</t>
  </si>
  <si>
    <t>ผจก โทรรีบข้อร้องเรียน แจ้งฝ่ายอาคารแก้ไข แจ้งแม่บ้านให้ปรับปรุงด้านความสะอาด</t>
  </si>
  <si>
    <t>นฤมล</t>
  </si>
  <si>
    <t>Google review - เจ้าถุง ถุงทอง</t>
  </si>
  <si>
    <t>การชำระค่ารักษาพยาบาล</t>
  </si>
  <si>
    <t>บริการ พอใช้ได้ นำสัตว์มารักษา ห้องพัก เตียงค่อนข้างสูง ถ้า สัตว์เราตัวใหญ่คงกระโดดขึ้นลงได้ แต่ก็ยังสูง ถ้าตัวเล็กหมดสิทธิ์ สัตว์จะลงไปฉี่ ลำบาก ในห้องนอน ไม่มี อะไรเลย มีแค่ตู้เย็น น้ำให้วันละ 3-4ขวด ห้องน้ำ มีแค่สบู่ล้างมือ และทิชชู่ เก็บเงินมัดจำล่วงหน้า ก่อนเข้าพัก แต่ยังไม่ได้เช็คเอ้าออกเลย รีบขึ้นมาเก็บเงิน ค่าพักค่ารักษาเกือบทั้งหมด เพิ่งเคยเจอเหมือนกัน พนักงาน ทำงาน กัน งงๆ มีรปภ รักษาความปลอดภัยแค่ 1 ท่าน แม่บ้าน อยู่ถึง 22.00 โรงพยาบาล สามารถ เดินเข้าออกได้เลย กดลิฟท์ขึ้นไปชั้นห้องพัก โดยไม่ต้องใช้คีการ์ด หรือ กุญแจใดๆ ห้องพัก นอนกับ สัตว์เลี้ยง คืนละ 2500 icu 880 รวมๆแล้วพอใช้ได้ แต่ยังไม่สมกับราคาที่ต้องจ่าย ส่วนหมอ น่ารักดี พูดจาดี พยาบาล ก็ทำงาน พอใช้ได้</t>
  </si>
  <si>
    <t>ชาล็อต (17136),อาร์โนลด์(15170)</t>
  </si>
  <si>
    <t>นันทิกานต์  สิงหา</t>
  </si>
  <si>
    <t>0846626635</t>
  </si>
  <si>
    <t>ค่าใช้จ่ายของอาร์โนลด์ (15170)เท่ากับ 10,006 บาท , ค่าใช้จ่ายของชาล็อต (17136)เท่ากับ 9,833.64 บาท รวมทั้งหมดจะเท่ากับ 19,839.64 บาท แต่ลูกค้าจ่ายเงินค่ามัดจำมาไว้แล้วตัวละ 6,500 บาทจะเท่ากับ 13,000 บาท ซึ่งจริงๆแล้วจะต้องเก็บเงินลูกค้าเพิ่ม 6,839.64 บาท แต่เก็บเงินลูกค้าราคาเต็มทำให้ต้องโอนเงินคืนเข้าบัญชีลูกค้าจำนวน 13,000 บาทค่ะ</t>
  </si>
  <si>
    <t>0276</t>
  </si>
  <si>
    <t>เมทินี  ปานช่วย</t>
  </si>
  <si>
    <t>20250022161/20250022160</t>
  </si>
  <si>
    <t>นันทิกานต์  สิงหา  ธนาคารกสิกรไทย 777-2-33858-3</t>
  </si>
  <si>
    <t>Shiro HN.1497</t>
  </si>
  <si>
    <t>คุณพิณวรรณ</t>
  </si>
  <si>
    <t>0873360699</t>
  </si>
  <si>
    <t>ได้มาตรวจสุขภาพตามPackage Health Check ราคา 3,500 บาทไปวันที่12/7/68 รายการที่ส่งมาให้มีตรวจพยาธิหนอนหัวใจ แต่หมอSAN โทรมาแจ้งว่าไม่ได้ตรวจไปในรอบแรก รอบสองโทรมาบอกว่าตรวจ ทำให้รู้สึกไม่มั่นใจว่าน้องได้รับการตรวจจริงไหม และการตรวจพยาธิหนอนหัวใจยังใช้วิธีการตรวจที่ไม่100% อีก ทำให้รู้สึกว่าPackage นี้กำกวม ไม่บอกลูกค้าให้หมด</t>
  </si>
  <si>
    <t>ให้น้องมาตรวจกับหมอAL (หัวหน้าหมอ)และให้หมออธิบายเรื่องการรักษาที่ผ่านมาอีกรอบ และวางแผนการรักษาต่อไป ครั้งนี้ไม่ได้คิดค่าใช้จ่ายในการรักษา</t>
  </si>
  <si>
    <t>รวิวรรณ</t>
  </si>
  <si>
    <t>เฉลิม 7419</t>
  </si>
  <si>
    <t>คุณเอกนภา</t>
  </si>
  <si>
    <t>0809456365</t>
  </si>
  <si>
    <t>น้องมีนัดฉีดวัคซีนรวมประจำปี แต่หมอNNติดต่อลูกค้าไม่ได้ และดูในสมุดวัคซีนว่าน้องเคยฉีด 2 เข็ม เลยฉีดไปให้ 2 เข็ม จึงทำให้น้องแพ้วัคซีน อาเจียนหลายครั้ง เจ้าของเลยพามาAdmit ทันที</t>
  </si>
  <si>
    <t>หมอขอโทษลูกค้า และให้น้องAdmit ดูอาการ 2 วัน ทางรพ.ดูแลค่าใช้จ่ายที่น้องต้องAdmit</t>
  </si>
  <si>
    <t>บาร์ซ่า (17018) + ยูเว่ (17019) + ลัคกี้ (17017)</t>
  </si>
  <si>
    <t>ศุภธีร์ ถ้วยงาม  (12064)</t>
  </si>
  <si>
    <t>0954949365</t>
  </si>
  <si>
    <t>เจ้าของพามาฝาก Day care และขอเอกสารใบยืนยันการฝากกลับด้วย แต่เราแจ้งว่าปกติไม่มี เจ้าของเลยแจ้งว่าควรจะมีเนื่องจากจะได้เข้าใจตรงกันทั้งผู้ฝากและพยาบาลที่ดูแล เรื่องการกิน นิสัย ข้อควรระวังแต่ละตัว และราคาค่าใช้จ่าย และโรงพยาบาลดูใหญ่ควรทำระบบให้ดีกว่านี้และรัดกุมกว่านี้</t>
  </si>
  <si>
    <t>ออกเอกสารแบบตรวจสุขภาพเบื้องต้นสาหรับสัตว์เลี้ยงที่เข้ารับบริการที่ไม่เกี่ยวข้องกับการรักษาให้เจ้าของลงข้อมูลของสัตว์เลี้ยง และพยาบาลจะทำการตรวจร่างกายเบื้อต้นและแสกนเอกสารส่งกลับให้ทางไลน์</t>
  </si>
  <si>
    <t>แพรวา จ๋า ปอชาย</t>
  </si>
  <si>
    <t>โกโก้ (17184)</t>
  </si>
  <si>
    <t xml:space="preserve"> กัญญาณัฐ พิชยเกียรติกุล  (12173)</t>
  </si>
  <si>
    <t>089 892 8853</t>
  </si>
  <si>
    <t>1. ค่าห้อง Family room กับ ICU dog ทำไมคิดแยกกัน  2. หมอวอร์ดเปลี่ยนคนทุกวัน คุยไม่รู้เรื่อง 3. หมอคนนึงแจ้งว่าผ่าตัดได้ อีกคนแจ้งว่าผ่าตัดไม่ได้ 4. ห้อง Family ไม่มีอะไรให้เลย  5. บิลไม่มีอธิบายอะไรเลย ค่ารักษาแพง</t>
  </si>
  <si>
    <t>Front-Yo</t>
  </si>
  <si>
    <t>18325</t>
  </si>
  <si>
    <t>พนัชกร  เหขุนทด(พิม)</t>
  </si>
  <si>
    <t>0625342626</t>
  </si>
  <si>
    <t>มาใช้โปรตรวจสุขภาพ young cat/dog ฟรีmicrochip แต่จนท.แจ้งว่าหมดโปรแล้ว แต่ลูกค้าไม่ยอมจะทำให้ได้</t>
  </si>
  <si>
    <t>0300</t>
  </si>
  <si>
    <t>Front ชัชชญา (แป้ง)</t>
  </si>
  <si>
    <t>Buffet 18325</t>
  </si>
  <si>
    <t>ชัชชญา</t>
  </si>
  <si>
    <t>0929945998</t>
  </si>
  <si>
    <t>นายปัณณวัชร์ ทำโปรโมชั่นมาไม่แจ้งหน้างาน ทำให้หน้างานเดือดร้อน ไม่แจ้งให้ห้องยาเตรียมของ ในสต๊อกไม่มีไมโคชิฟทำให้ลูกค้าไม่โอเค เนื่องจากเสียเวลาที่จะต้องเข้ามาโรงพยาบาล</t>
  </si>
  <si>
    <t>แจ้งลูกค้าให้ตรวจเลือดก่อน แล้วให้กลับมาฝั่งไมโครชิฟวันถัดไปค่ะ</t>
  </si>
  <si>
    <t>0259</t>
  </si>
  <si>
    <t xml:space="preserve">หมอRCN พยาบาลจา </t>
  </si>
  <si>
    <t>ปุกปุย (8414)</t>
  </si>
  <si>
    <t>ธัญลักษณ์ มหาสิงห์  (6021)</t>
  </si>
  <si>
    <t>064 956 7678</t>
  </si>
  <si>
    <t>การประเมินราคา</t>
  </si>
  <si>
    <t>1. อยากให้ฟอร์มบิลของดรงพยาบาลโดยพื้นฐานแสดงรายละเอียดค่าใช้จ่ายทั้งหมด พร้อมแยกรายการแต่ละวัน  2.ก่อนแอดมิทได้รับแจ้งว่าค่าใช้จ่ายประมาณ 30,000 บาท พอมาแอดมิทจริงยอดสูงมากๆ</t>
  </si>
  <si>
    <t>Michael</t>
  </si>
  <si>
    <t>คุณ Zayar (Laeo) Lyn</t>
  </si>
  <si>
    <t>0807943593</t>
  </si>
  <si>
    <t>การคีย์ Order/ค่าใช่จ่าย</t>
  </si>
  <si>
    <t>เจ้าของได้โทรมาสั่งยาที่ทานประจำ 24 วัน แต่พอแจ้งราคาก็ขอลดเหลือ12วัน เหมือนครั้งก่อน แต่เจ้าขิงก็สงสัยว่าครั้งก่อนค่ายาถูกกว่านี้ ห้องยากลับไปย้อนตรวจสอบพบว่า ครั้งก่อนหน้าหมอคีย์ยา rivaroxaban 10 mg จำนวน 0 เม็ด ยาถูกจัดแต่ไม่ถูกคิดเงินราคาจึงไม่เท่ากัน ห้องยาได้แจ้งเจ้าของตามจริงว่าครั้งที่แล้วไม่ได้คิดเงินค่ายา1ตัว</t>
  </si>
  <si>
    <t>แจ้งเจ้าของว่า ค่ายาส่วนที่ไม่ได้คิดเงินรอบที่แล้ว เจ้าของไม่ต้องชำระเพิ่ม ห้องยาจะรับผิดชอบเพราะไม่ได้ตรวจสอบให้ดี ให้เจ้าของชำระแค่ค่ายารอบปัจจุบัน</t>
  </si>
  <si>
    <t>0124</t>
  </si>
  <si>
    <t>แพรวา, เกษมกิจ</t>
  </si>
  <si>
    <t>Bubble (15711)</t>
  </si>
  <si>
    <t xml:space="preserve"> ภาวรี พินธุโสภณ  (11184)</t>
  </si>
  <si>
    <t>0 81 849 5353</t>
  </si>
  <si>
    <t>เจ้าของแจ้งมาในไลน์ว่า ทำไมโทรไม่มีคนรับสายเลยค่ะ ที่ รพ  แบบนี้ถ้าแอตมิต จะติดต่อสอบถามอาการอย่างงัยค่ะ และแจ้งที่หน้างานว่าติดต่อยาก</t>
  </si>
  <si>
    <t>ขอโทษเจ้าของไป</t>
  </si>
  <si>
    <t>ต้นข้าว (16795)</t>
  </si>
  <si>
    <t>อรอนงค์ ปิลันธน์โอวาท  (4674)</t>
  </si>
  <si>
    <t>085 994 1456</t>
  </si>
  <si>
    <t>ค่าน้ำเกลือ Acetra 1000 ml แพงมาก ราคาต่อขวด 600 บาท แต่ภายนอกขวดละ 50-120 บาท เจ้าของรู้สึกว่าราคาค่อนข้างสูงเกินกว่าปกติเกินไป</t>
  </si>
  <si>
    <t>ฟีนิกซ์ (10069)</t>
  </si>
  <si>
    <t>ณัฏฐกัลย์ ไทยจิรโชติ  (7200)</t>
  </si>
  <si>
    <t>081 923 5698</t>
  </si>
  <si>
    <t>รถเข็นทำความสะอาดไม่เรียบร้อย ยังมีเศษขน ขยะ อยู่ในรถเข็น</t>
  </si>
  <si>
    <t>ขออภัยเจ้าของไป</t>
  </si>
  <si>
    <t>Yo-Front</t>
  </si>
  <si>
    <t>Romeo (12094)</t>
  </si>
  <si>
    <t>ทรรศิกา ฉัตรเฉลิม  (8629)</t>
  </si>
  <si>
    <t xml:space="preserve">098 161 9798 </t>
  </si>
  <si>
    <t>เจ้าของแจ้งว่าตรวจกับหมอท่านแรกเสร็จแล้ว มารอคุณหมอแทนหทัยเพื่อตรวจต่อตอน 13.30 น ไม่มีหมอในห้องตรวจ แจ้งพยาบาลแล้ว พยาบาลแจ้งว่าจะตามให้ หลังจากรอ 20 นาที เจ้าของไม่สะดวกรอต่อเนื่องจากน้องเริ่มหอบเลยเดินไปแจ้งพยาบาลที่เค้าเตอร์ พยาบาลตอบแค่คำว่า ค่ะ เลยพาน้องลงมาเพื่อรอคิดเงินและรับยา เจ้าของแจ้งว่าไม่ค่อพอใจการตอบกลับจากพยาบาลและการที่คุณหมอไม่อยู่ รวมถึงไม่มีใครมาแจ้งว่าสรุปหมอหายไปไหน</t>
  </si>
  <si>
    <t>ขออภัยเจ้าของไปและแจ้งว่าจะแจ้งทาง Manager ให้</t>
  </si>
  <si>
    <t>Cee Cee 17281</t>
  </si>
  <si>
    <t>วิชุดา</t>
  </si>
  <si>
    <t>0957944665</t>
  </si>
  <si>
    <t>รอตรวจนานทุกครั้งที่มาตรวจ</t>
  </si>
  <si>
    <t>หมออาร์ม</t>
  </si>
  <si>
    <t>ไข่มุก 18758</t>
  </si>
  <si>
    <t>ปราดา ลี้จินดา</t>
  </si>
  <si>
    <t>0888961414</t>
  </si>
  <si>
    <t>สุนัขทานminimum เข้าไปหลังจากออกจากห้อง OR เนื่องจากไม่ได้ใส่ collar</t>
  </si>
  <si>
    <t>ดูแลรักษา ไม่คิดค่าอุปกรณ์และยาที่ต้องใช้รักษา คือ IV24 /minimum/transamin</t>
  </si>
  <si>
    <t>0445</t>
  </si>
  <si>
    <t>เจ้าหน้าที่ IPD</t>
  </si>
  <si>
    <t>Piper 15160</t>
  </si>
  <si>
    <t>นวิน ศรีโมครา</t>
  </si>
  <si>
    <t>0969962954</t>
  </si>
  <si>
    <t>ลุกค้าแจ้งว่าหมอวินิจฉัยผิดและหมอยอมรับว่าวินิจฉัยผิด(หมอไม่ได้ตั้งใจจะสื่อว่าวินิจฉัยผิดแต่เป็นเพราะหมอพูดผลการตรวจว่าปกติ) จนทำให้การรักษาช้าจนทำให้เกิดการรักษาที่ไม่ตรงจุดและเกินความจำเป็น รวมถึงหมอในเวรที่ดูแลipd รักษาตามอาการโดยไม่หาสาเหตุที่แท้จริง</t>
  </si>
  <si>
    <t>พัฒนาความรู่ของหมอและด้านการสื่อสาร</t>
  </si>
  <si>
    <t>แป้ง หมอเมธ หมอหลิน หมอปุยนุ่น หมอต้นข้าว</t>
  </si>
  <si>
    <t>51250004738</t>
  </si>
  <si>
    <t>125273.8</t>
  </si>
  <si>
    <t xml:space="preserve">C.ลูมี่ (12451)  </t>
  </si>
  <si>
    <t xml:space="preserve"> นัฐรียา ไชยกิจ 8878</t>
  </si>
  <si>
    <t>094 479 4645</t>
  </si>
  <si>
    <t>ลูกค้าใช้ทำหมันโปร 8,500 บาท แต่น้องมีการตรวจหัวใจเพิ่มเติม เจ้าของแจ้งว่า  คุณหมอไม่แจ้งว่า มีราคาตรวจหัวใจเพิ่มเติม แจ้งว่า รวมกับโปรทำหมันแล้ว</t>
  </si>
  <si>
    <t>ขออภัยเจ้าของ</t>
  </si>
  <si>
    <t>Front-nan</t>
  </si>
  <si>
    <t>บัดดี้ 18169</t>
  </si>
  <si>
    <t>คุณรุ่งนภา</t>
  </si>
  <si>
    <t>0859339338</t>
  </si>
  <si>
    <t>Cashier ไม่แนะนำว่ามีสิทธิพิเศษอะไรบ้าง ทำให้พลาดผลประโยชน์ไปเพราะน้องมาAdmit เสียค่าใช้จ่ายไปเป็นแสนๆ</t>
  </si>
  <si>
    <t>Cashier Set สิทธิพิเศษให้แล้ว และให้ราคาPromotion ในการมาทำU/S ครั้งหน้าเป็น 1,490 บาท</t>
  </si>
  <si>
    <t>0910</t>
  </si>
  <si>
    <t>จิ๊บ</t>
  </si>
  <si>
    <t>Simba (19219)</t>
  </si>
  <si>
    <t>ษมาภรณ์ พลกุล  (3450)</t>
  </si>
  <si>
    <t>090 880 8715</t>
  </si>
  <si>
    <t>ช่วง 19.30 น เจ้าของโทรมาแจ้งว่ายังไม่ได้รับข้อความอัพเดตอาการ</t>
  </si>
  <si>
    <t>ขออภัยเจ้าของและโทรแจ้งวอร์ดให้ส่งอัพเดต</t>
  </si>
  <si>
    <t>มอมแมม HN 740</t>
  </si>
  <si>
    <t>เจ้าของมอมแมม</t>
  </si>
  <si>
    <t>0818754145</t>
  </si>
  <si>
    <t>การจัดทำนัดหมายติดตามอาการ</t>
  </si>
  <si>
    <t>น้องมอมแมมได้ใบนัดหมายไปวันที่2/12/68 และมาตามนัดพบหมอPW สรุปหมอลา ตรวจสอบในระบบไม่มีนัด ทำให้ไม่ได้ตรวจกลับบ้านไป และพบว่าไม่มีพยาบาลโทรไปConfirm นัด ส่งLineมาแจ้งอย่างเดียว</t>
  </si>
  <si>
    <t>นัดหมายพบหมอPW ให้ใหม่วันที่9/12/68 และทำการขอโทษลูกค้าช</t>
  </si>
  <si>
    <t>บอส แจ๊ค</t>
  </si>
  <si>
    <t>เจได 18145</t>
  </si>
  <si>
    <t>คุณณชาญา</t>
  </si>
  <si>
    <t>0826639964</t>
  </si>
  <si>
    <t>การประสานงานล่าช้าระหว่างFront กับ Admin ตอบLine ช้า โทรมาไม่มีคนรับสาย สอบเรื่องยามาตั้งแต่วันที่9/12/68</t>
  </si>
  <si>
    <t>โอโทรไปรับฟัง และขอโทษ จะนำไปแจ้งทีมให้ปรับปรุง และให้น้องโยFront โทรไปหาลูกค้าเรื่องยาอีกครั้ง</t>
  </si>
  <si>
    <t>โย</t>
  </si>
  <si>
    <t>Timothee HN.2041</t>
  </si>
  <si>
    <t>คุณณัฐพันธ์</t>
  </si>
  <si>
    <t>0993615615</t>
  </si>
  <si>
    <t xml:space="preserve"> 1. แมวดันออกมาเอง แต่เจ้าของไม่แน่ใจว่ากลอนไม่ใส่ หรือดันจนกลอนหลุด 2. ไม่มีคนเดินมาดู ปกติเดินมาดูทุกกี่ชม 3. บางวันเปิดไฟ บางวันปิดไฟ 4. ไลน์ไไม่มีใครอ่านเลย โทรเข้ารพ ไม่มีคนรับ 5. คนเข้ามาดูอีกทีตอนตีห้า</t>
  </si>
  <si>
    <t>เสี่ยวอัน (19761)</t>
  </si>
  <si>
    <t>พัทธ์ฐิชา ณิชยรวีพัชร์  (14045)</t>
  </si>
  <si>
    <t>064 987 9503</t>
  </si>
  <si>
    <t xml:space="preserve">ลูกค้าแจ้งว่า 1. เวลาสอบถามอาการน้องกับพยาบาล พยาบาลดูงงและไม่สามารถตอบคำถามพื้นฐานได้ ดูเหมือนไม่ทราบว่ามีเคสชื่อนี้แอดมิท 2.น้องตอนอยู่ในวอร์ดเห่าหนักมากแต่พยาบาลไม่มีการทำอะไรเลยเพื่อดูแลน้อง แล้วน้องพึ่งผ่าตัดเกี่ยวกับคอมา เจ้าของกลัวว่าจะทำให้อาการหนักขึ้น 3.เจ้าหน้าที่ดูมีจำนวนเยอะแต่ไม่ควรแบ่งกันมาดูแลสัตว์ป่วยเท่าที่ควร </t>
  </si>
  <si>
    <t>รับเรื่องและแจ้งฝ่ายที่เกี่ยวข้องให้</t>
  </si>
  <si>
    <t>Boss</t>
  </si>
  <si>
    <t>โตโน่</t>
  </si>
  <si>
    <t>จข.</t>
  </si>
  <si>
    <t>จข.สอบถามรายละเอียดค่าใช้จ่าย พนักงาน reception พูดจาไม่ดีและแสดงสีหน้าไม่ดี</t>
  </si>
  <si>
    <t>จข.มาเล่าให้ฟัง</t>
  </si>
  <si>
    <t>มีชัย 19955 มีโชค 19956</t>
  </si>
  <si>
    <t>วราพร บุญประเสริฐ</t>
  </si>
  <si>
    <t>0934594926</t>
  </si>
  <si>
    <t>การลงทะเบียน</t>
  </si>
  <si>
    <t>ลูกค้าจอดรถหน้ารพ.แจ้งว่าจะพาแมว 2 ตัวที่นัดไว้มาอาบน้ำ ลูกค้าไม่พอใจที่แจ้งแล้วว่าแมว 2 ตัวแต่ไม่มีพนักงานมาช่วยถือกรงหรือเปิดประตูให้เลยทั้งที่มีพนักงานหน้าฟร้อนอยู่ตรงนั้น แต่พอเดินเข้ามาลงทะเบียนอยู่แล้วมีลูกค้าคนถัดไปจะเข้ามาใช้บริการกับแมว 1 ตัวกลับมีพนักงานเดินไปเปิดประตูและช่วยถือกรงให้</t>
  </si>
  <si>
    <t>ผจก.สาขาโทรไปขอโทษแล้ว ตักเตือนพนักงานต้อนรับเรื่องของการ service แล้ว</t>
  </si>
  <si>
    <t>ซาวด์ แพร น้อย</t>
  </si>
  <si>
    <t>ข้าวปุ้น (19234)</t>
  </si>
  <si>
    <t>วิราม สุภัทรเกียรติ  (13688</t>
  </si>
  <si>
    <t>099 421 4552</t>
  </si>
  <si>
    <t xml:space="preserve"> ข้าวปุ้น (19234) - พยาบาลเวรก่อนหน้าไม่ได้คืนอาหาร recovery ที่เบิกไป แล้วหมาต้องกิน id ทำให้ค่าอาหารยังคงค้างในบิลและลูกค้าถูกคิดเงินตอนกลับบ้านไป ลูกค้าโทรมาบอกอยากคืนอาหารที่ไม่ได้กินแล้ว </t>
  </si>
  <si>
    <t>ทำเอกสารคืนเงินลูกค้าและรับสินค้าคืน</t>
  </si>
  <si>
    <t>Front Donat</t>
  </si>
  <si>
    <t>21250026340</t>
  </si>
  <si>
    <t>VHW DOG RECOVERY CAN  125.00 บาท</t>
  </si>
  <si>
    <t>Bambi HN 1676</t>
  </si>
  <si>
    <t>คุณวิน</t>
  </si>
  <si>
    <t>0958282239</t>
  </si>
  <si>
    <t>เจ้าของได้โทรมาสอบถาม จะพาน้องมาหาหมอเพราะน้องอาเจียน และอาจจะต้องAdmit เจ้าหน้าที่รับสายแจ้งว่าให้มาได้เลย พอตรวจกับคุณหมอเรียบร้อย สรุปไม่มีกรงให้น้องอยู่ ทำให้รู้สึกไม่ok ถ้าไม่มีกรงทำไมไม่แจ้งตั้งแต่แรก เพราะพาน้องเดินทางมาไกลมากจากพุทธมณทล</t>
  </si>
  <si>
    <t>รับฟัง และขอโทษ และจะแจ้งทีมให้ปรับปรุงเรื่องการสื่อสาร</t>
  </si>
  <si>
    <t>ซิกก้า HN 19101</t>
  </si>
  <si>
    <t>คุณณปภัช</t>
  </si>
  <si>
    <t>0992915511</t>
  </si>
  <si>
    <t>มาฝากวันที่18/12/68 รับกลับ 20/12/68 แล้วเจอเห็บ มาฝาก2 ครั้งกลับไปก็เจอทุกครั้ง เอาเบาะนอนมาให้ก็ไม่เอาให้น้องนอน แล้วที่นอนยังเปียกอีก</t>
  </si>
  <si>
    <t>กล่าวขอโทษ รับเรื่องใส่เรื่องที่นอนจะให้คำตอบวันที่ 26/12/68 และให้หมอพ่นFrontline วันนั้นด้วย</t>
  </si>
  <si>
    <t>0444</t>
  </si>
  <si>
    <t>ลูกค้าไลน์มาแจ้งเรื่องเห็บ</t>
  </si>
  <si>
    <t>14260</t>
  </si>
  <si>
    <t>จุติณัฏฐ์</t>
  </si>
  <si>
    <t>0931439444</t>
  </si>
  <si>
    <t>สื่อสาร กับลูกค้าผิดพลาด</t>
  </si>
  <si>
    <t xml:space="preserve">แจ้งขออภัยลูกค้า เบื้องต้นแจ้งวันนัดที่เร็วที่สุด </t>
  </si>
  <si>
    <t>0315</t>
  </si>
  <si>
    <t xml:space="preserve">โดนัท </t>
  </si>
  <si>
    <t>Pilou</t>
  </si>
  <si>
    <t>ปพิชญา</t>
  </si>
  <si>
    <t>0623054666</t>
  </si>
  <si>
    <t>การจ่ายยา</t>
  </si>
  <si>
    <t>เจ้าของขอยกเลิกไม่รับยา</t>
  </si>
  <si>
    <t>0329</t>
  </si>
  <si>
    <t>เฟรม</t>
  </si>
  <si>
    <t>Bubu 4962</t>
  </si>
  <si>
    <t>K.jason</t>
  </si>
  <si>
    <t>0885993656</t>
  </si>
  <si>
    <t>Hotel การดูแล เนื่องจากแจ้งเจ้าของเรื่องสุนัขเอาหน้าไปถูโต๊ะจากการตรวจแล้วพบว่าหมาเป็นยีสในหู</t>
  </si>
  <si>
    <t>เช็คสุขภาพก่อนฝาก และคอยสังเกตุอาการสัตว์ใน hotel</t>
  </si>
  <si>
    <t>ลักกี้ (6592)</t>
  </si>
  <si>
    <t>กฤษณะ คงโนนนอก  (4727)</t>
  </si>
  <si>
    <t>086 331 8035</t>
  </si>
  <si>
    <t>เจ้าของมาเยี่ยมน้องในรอบเย็น เนื่องจากวอร์ดค่อนข้างยุ่งจึงให้เจ้าของนั่งรอด้านล่างเพื่อแจ้งวอร์ดให้เตรียมพร้อมก่อน เนื่องจากหากปล่อยเจ้าของขึ้นนั่งรอชั้น 3 เลยอาจเกิดเหตุเจ้าของเข้าวอร์ดโดยที่วอร์ดไม่พร้อม ทาง Front โทรติดต่อทางวอร์ดไม่ได้เลย พยายามโทรซ้ำๆ 15-20 นาที จนเจ้าของรู้สึกว่ารอนานและตำหนิด้านหน้าเค้าท์เตอร์</t>
  </si>
  <si>
    <t>แจ้งเหตุผลของการให้รอและขออภัยเจ้าของ</t>
  </si>
  <si>
    <t>Mickey(มิกกี้) (11338)</t>
  </si>
  <si>
    <t xml:space="preserve"> เบญจณา เจริญสมสมัย  (6250)</t>
  </si>
  <si>
    <t>081 498 2445</t>
  </si>
  <si>
    <t>ช่วงสี่โมงเย็นเจ้าของเข้ามาติดต่อขอเยี่ยม ฟร้อนแจ้งแล้วว่ารอบเยี่ยมเป็นหกโมงเจ้าของเลยถามว่ารับกลับได้ไหม ฟร้อนสอบถามหมอวอร์ดแล้วให้เจ้าของนั่งรอชั้น 1 หมอวอร์ดฝากสอบถามเจ้าของไข้ แต่ติดต่อหมอปนัดดาไม่ได้ จึงโทรแจ้งวอร์ดว่าติดต่อหมอปนัดดาไม่ได้วันนี้จะให้เยี่ยมก่อนไหมแล้วจะให้เยี่ยมเป็นหลังหกโมงไหม หมอแจ้งว่าเยี่ยมก่อนได้แต่ยังไม่ใช่ตอนนี้เนื่องจากวอร์ดกำลังวุ่นวายถ้าจะเยี่ยมต้องรอแต่ไม่ถึงหกโมง ฟร้อนเลยเดินไปแจ้งเจ้าของเรื่องการรับกลับและเยี่ยมสัตว์ เจ้าของจึงเดินออกไปรอนอกรพ.และกลับมาช่วง 17.10 เพื่อติดต่อขอเยี่ยมอีกที ฟร้อนโทรไปแจ้งหมอว่าขึ้นได้ไหม หมอบอกขอวัดความดันก่อน หลังผ่านไปอีกสิบกว่านาที จึงโทรตามอีกรอบวอร์ดยังแจ้งว่าไม่ได้ จึงเดินไปแจ้งเจ้าของ เจ้าของเลยตำหนิกลับว่าแล้วตอนนี้กำลังทำอะไร ต้องรอจนถึงเมื่อไหร่ เขาโดนแจ้งให้รอมา 4 รอบแล้ว ท่าทางเจ้าของไม่ค่อยพอใจ</t>
  </si>
  <si>
    <t>แจ้งขอโทษไปและพยายามติดต่อวอร์ดเพื่อแจ้ง</t>
  </si>
  <si>
    <t>Tysia (16296)</t>
  </si>
  <si>
    <t>Divina Luliia</t>
  </si>
  <si>
    <t>0832284139</t>
  </si>
  <si>
    <t>ลูกค้าบอกว่าหมาเจ็บตา เดิมเคยรักษากับที่อื่นโดยใช้ยาหยอดตาที่เป็นยาฆ่าเชื้อแล้วดีขึ้น เลยอยากขอแค่ซื้อยาหยอดตา ไม่ยอมให้ตรวจ หากไม่ดีขึ้นจะกลับมาตรวจในภายหลังเอง หลังจากหมอจ่ายยาไปได้ 1 คืนก็รีวิวว่าใช้แล้วไม่ดีขึ้นเลย</t>
  </si>
  <si>
    <t>งดจ่ายยาฆ่าเชื้อทุกกรณีหากไม่ได้มีประวัติรักษากับที่นี่หรือไม่ได้เข้ามาตรวจจริง</t>
  </si>
  <si>
    <t>KP</t>
  </si>
  <si>
    <t>Leo (20867)</t>
  </si>
  <si>
    <t>หมอให้แอดมิทและเตรียมทำหัตถการซึ่งประเมินค่ามัดจำไป 5,000 บาท แต่หลังจากเข้ามาแอดมิทจริงสัตว์เสียชีวิตก่อนทำหัตถการที่วางแผนไว้ ทำให้ยอดชำระจริงคือ 2,190 บาท และมียอดมัดจำเหลือ ลูกค้าต้องการเงินคืน</t>
  </si>
  <si>
    <t>วางแผนการเก็บมัดจำตามสภาพสัตว์</t>
  </si>
  <si>
    <t>BL, front แพร</t>
  </si>
  <si>
    <t>41250007947</t>
  </si>
  <si>
    <t>คืนเงิน 2,810 บาท รายละเอียดตาม Memo ที่ส่งแนบ</t>
  </si>
  <si>
    <t>กวินภพ ชัยหมอน</t>
  </si>
  <si>
    <t>พบ review ใน Google ขึ้น 1 ดาวแจ้งว่า ”โทรไปหาร.พ บอกติกอีก1เคส 1ช.มเข้าไปได้เลย พอเข้าไปบอกเคสเต็ม ให้ไปรักษาที่อื่น บริการแย่มาเลยครับ เคสผมก็ด่วนไม่ว่างทำไมไม่บอกก่อนเสียเที่ยวเสียเวลา“ จากที่ตรวจสอบพบว่าการทำงานของ front ในปัจจุบัน หากเป็นลูกค้า new hn ที่นัด walk in ภายในวัน Front จะไม่ได้ถามข้อมูลและลงนัดไว้ ทำให้เกิดปัญหาพอลูกค้ามาแล้วอาจจะมีเคสอื่นมาแทรก เกิดกรณีคล้ายนัดเคสชนกันเกิดขึ้น</t>
  </si>
  <si>
    <t>ปรับการทำงาน หากเป็นเคสใหม่โทรมานัด walkin ให้ทำนัดลงระบบเลย พร้อมสอบถามชื่อเจ้าของ ชื่อสัตว์ ชนิด อายุ เพศ การทำหมัน สายพันธุ์ เบอร์โทร และอาการ พร้อมแจ้งให้เตรียมบัตรปชช.ไว้ด้วย</t>
  </si>
  <si>
    <t>0448</t>
  </si>
  <si>
    <t>นส.นัดดาวัล บุญใหญ่</t>
  </si>
  <si>
    <t>Club Pawrent @ Siam Paragon</t>
  </si>
  <si>
    <t>น้องโคล่า</t>
  </si>
  <si>
    <t>คุณเท็น</t>
  </si>
  <si>
    <t>0629169944</t>
  </si>
  <si>
    <t>น้องหมาโคล่า สายพันธ์พุดเดิ้ล อายุ 23 ปี มาทำการอาบน้ำ+ตัดขนที่สาขาพารากอนตอนเวลาประมาณ 19.30น. ซึ่งลูกค้านัดจะมารับน้องกลับช่วง 21.30น. ลูกค้าแจ้งว่าน้องอายุเยอะแล้ว ไม่อยากให้น้องยืนเยอะ เดี๋ยวน้องเจ็บ ช่างกรูมมิ่ง(พี่เก๋) ก็ทำการหัตถการกับน้อง อย่างเบามือ (ผจก.ร้านและพนง.ท่านอื่นๆ ได้มีการเดินขึ้นไปตรวจสอบตลอดระยะเวลาทำหัตถการกับน้องโคล่า หลังจากนั้นช่างเก่ทำน้องเสร็จช่วง 21.00น. (ตารางเลิกงานช่างคือ20.00น.) หลังช่วง21.00น. ให้น้องพักผ่อนอยู่ด้านในห้องhotel ภายในร้านค้า โดยมี มาร์ค(ผจก.) เดินขึ้นไปดู 2 ครั้งระหว่าง 21.00น.-22.00น. ระหว่างที่ขึ้นไปเช็คน้อง ก็ดูอาการปกติ แต่ดูน้องเจ็บๆไม่อยากยืน เหมือนตามที่เจ้าของแจ้ง (ร้านปิด 22.00น.) ลูกค้ามารับน้องประมาณ 21.50น. โดยตอนมารับกลับ ช่างเก๋ได้แจ้งมาร์คไว้ก่อนแล้วว่า มีเท้าข้างซ้ายแดงนิดหน่อยจากการที่น้องดิ้น ตอนไถเปิดเท้า ซึ่งมาคก็ได้แจ้งเจ้าของไปเรียบร้อยแล้ว เจ้าของก็โอเครรับทราบ เพราะนอกนั้นไม่มีอะไรผิดปกติ หลังจากนั้นลูกค้ารับกลับไปประมาณ 20 นาที ก็โทรกลับมาแจ้งที่ร้านว่า พบรอยช้ำ ที่กลางหลังน้อง แล้วก็น้ำเสียงไม่ค่อยพอใจ มาคจึงรีบประสานงาน ให้เข้าไปที่ สาขาหลังสวน เพื่อให้ดูอาการและรับการรักษาเบื้องต้น หลังจากนั้นก็ได้มีการมาย้อนดูกล้องวงจรปิด เพื่อหาสาเหตุว่าเกิดจากปัจจัยไหน ที่ทำให้เกิดรอยช้ำได้บ้าง ซึ่งก็ไม่พบการทำงานที่ผิดปกติของช่าง และช่วงที่น้องพักในห้องhotel จากกล้องก็เห็นแค่น้องเดินวนๆ ไม่ได้มีชนหรือกระแทกอะไรเพิ่ม ทั้งนี้ได้มีการโทรไป follow แจ้งลูกค้าแล้ว 2 ครั้ง เพื่อนัดติดตามอาการของน้อง เจ้าของค่อนข้างเป็นห่วงน้องว่า ถ้ามีอะไรอยากให้แจ้ง ตรงๆ เพราะกลัวน้องเป็นหนัก แต่ทางมาร์คได้โทรไปแจ้งยืนยันความบริสุทธิ์ใจ หลังจากตรวจสอบกล้องวงจรปิดแล้ว ว่าไม่น่าเป็นเหตุที่เกิดขึ้นจากทางร้านค้า แต่อย่างไรก็ตามเพื่อความสบายใจของลูกค้า จึงได้มีการนัดหมายเพื่อ ติดตามอาการของน้องโคล่า และทางลูกค้าอาจจะนัดวันเข้ามาเพื่อดูกล้องวงจรปิดอีกครั้งหนึ่ง</t>
  </si>
  <si>
    <t>ช่างเก๋ ช่างต่อ มะตูม มาร์ค</t>
  </si>
  <si>
    <t>วิลเลียม (20461)</t>
  </si>
  <si>
    <t xml:space="preserve"> วิภารัตน์ บุญฤทธิ์  (14521)</t>
  </si>
  <si>
    <t>090 909 7318</t>
  </si>
  <si>
    <t>1 เจ้าของไม่พอใจที่ให้น้องนอนในโซนอาน้ำ(คอกกระจกฝักบัวอาบน้ำ) เจ้าของแจ้งว่าที่น้องท้องเสียเพราะเลียพื้นบริเวณนั้นหรือเปล่า 2 เจ้าของแจ้งว่าพยาบาลบนวอร์ดมีหลายคน ดูแลน้องอย่างไรถึงปล่อยให้กัดเบาะราคา 1,200 บาทขาด ทั้งที่น้องไม่มีนิสัยกัดของและชำระค่าห้องในราคาสูงแต่พยาบาลดูแลไม่ทั่วถึง</t>
  </si>
  <si>
    <t>แจ้งขอโทษลูกค้าไป</t>
  </si>
  <si>
    <t xml:space="preserve">Front </t>
  </si>
  <si>
    <t>จ๋า</t>
  </si>
  <si>
    <t>นิวยอร์ค,ถั่วแดง</t>
  </si>
  <si>
    <t>ภัทรวรรณ</t>
  </si>
  <si>
    <t>0877126611</t>
  </si>
  <si>
    <t>หมอไม่ตรวจร่างกายสัตว์ ไมวัดไข้ ฟังปอด/หัวใจ</t>
  </si>
  <si>
    <t>รับทราบข้อร้องเรียน ขอโทษลูกค้า ตักเตือนหมอ แจ้งให้ยึดprocess,protocol แจ้งหัวหน้าหมอให้รับทราบ นำเข้าไปย้ำในประชุมหมอ</t>
  </si>
  <si>
    <t>อาณกร</t>
  </si>
  <si>
    <t>เส่วโบ๋ย 16416</t>
  </si>
  <si>
    <t>จิลลาภัทร ชิณบุตร</t>
  </si>
  <si>
    <t>0635546562</t>
  </si>
  <si>
    <t>นำสุนัขลูกค้าออกไปเดิน แล้วโดนสุนัขตัวอื่นกัดขณะเดินสวนกันหน้ารพ.</t>
  </si>
  <si>
    <t>ทำแผลที่ถูกกัดให้ และนำไปปรับปรุงกระบวนการการนำสุนัขเดินขับถ่าย</t>
  </si>
  <si>
    <t>เขมนันท์, สลิลทิพย์, เสาวลักษณ์ ปุ่ยพล</t>
  </si>
  <si>
    <t>41260000336</t>
  </si>
  <si>
    <t>Firocoxib 227 mg Tablet (PREVICOX) 155thb, NSS (Klean&amp;Kare) 100 ml 80thb, AP-Collar 20 200thb, 	Steri-Dress (Dressing Pack) 100thb</t>
  </si>
  <si>
    <t>ซิลวา</t>
  </si>
  <si>
    <t>คุณภาคภูมิ ตั้งดำรงธรรม</t>
  </si>
  <si>
    <t>0895454550</t>
  </si>
  <si>
    <t>Back Office/Support</t>
  </si>
  <si>
    <t>ราคาน้ำเกลือสูงเกินจริงมาก ซื้อกลับบ้านไปให้เอง แต่ราคาเท่ากับให้น้ำเกลือที่โรงพยาบาล ไม่มีปัญหาเรื่องการจ่ายแต่คิดว่าราคาเกินไปเยอะมากจากราคาท้องตลาด</t>
  </si>
  <si>
    <t>ราคาซื้อกลับบ้านควรลดราคา ไม่ชาร์จเพิ่มเกินราคาจริงมากเท่านี้</t>
  </si>
  <si>
    <t>ณัฐกฤตา ธฤตวรนัทธ์</t>
  </si>
  <si>
    <t>ยูกิ HN20981</t>
  </si>
  <si>
    <t>คุณขวัญฐ์อินทร์</t>
  </si>
  <si>
    <t>0902426515</t>
  </si>
  <si>
    <t>น้องมาฝากเลี้ยงISO ได้มีหมอตามาตรวจในระหว่างฝากแต่ลูกค้าไม่รับทราบ และตอนที่พยาบาลรายงานอาการก้อบอกว่าน้องปกติ ซึ่งได้แจ้งไว้แล้วว่าถ้าติดต่อเจ้าของไม่ได้ ให้ติดต่อคุณพ่อ แต่ก้อไม่มีใครแจ้งก่อนตรวจ เลยไม่สะดวกจ่ายค่าใช้จ่ายในครั้งนี้</t>
  </si>
  <si>
    <t>หมอโทรคุยแล้ว และทางผจก.CRM โทรคุยแล้วเพื่อรับฟัง และจะนำไปปรับปรุง</t>
  </si>
  <si>
    <t>ถังทอง</t>
  </si>
  <si>
    <t>คุณณฐมณฐ์</t>
  </si>
  <si>
    <t>0644153694</t>
  </si>
  <si>
    <t>น้องพยาบาลนำโอบิของตัวเมียมาใส่ให้ ซึ่งน้องเป็นตัวผู้ ทำตอนกลับบ้านมาน้องปัสสาวะ อุจจาระออกมาทำให้นั่งทำ</t>
  </si>
  <si>
    <t>โทรไปขอโทษลูกค้า เสนอจะไปรับน้องมาอาบน้ำ แต่เจ้าของแจ้งว่าจัดการเองเรียบร้อยแล้ว ฝากให้เตือนน้องพยาบาลให้ดูดีๆ</t>
  </si>
  <si>
    <t>เพื่อนOPD</t>
  </si>
  <si>
    <t>ไต้ฝุ่น</t>
  </si>
  <si>
    <t>นวลวิภา</t>
  </si>
  <si>
    <t>0897474746</t>
  </si>
  <si>
    <t>มาฝากทีไร เป็นแผลกลับมาทุกครั้ง และจะทำอะไรก้อต้องแจ้งรายละเอียดก่อนทำทุกครั้ง</t>
  </si>
  <si>
    <t>โทรไปรับฟังลูกค้า และจะนำเข้าที่ประชุม เพื่อทำการปรับปรุงไม่ให้เกิดขึ้นอีก</t>
  </si>
  <si>
    <t>จ๋า Front</t>
  </si>
  <si>
    <t>ข้าวแห้ง (6621)</t>
  </si>
  <si>
    <t>ชาร์คริต ฉายสว่างวงศ์  (4748)</t>
  </si>
  <si>
    <t>0898325050</t>
  </si>
  <si>
    <t>ขณะใช้ไดร์เป่าขนที่คอเนื่องจากเข้าตู้แล้วเป่ายังไม่แห้งดี น้องตกใจกระโดด อาจมีการขูดเล็บกับโต๊ะช่าง หลังนำเข้าตู้เป่าและพาออกมาอีกครั้งพบว่าเล็บขาหลังหลุด เลือดออก</t>
  </si>
  <si>
    <t>แจ้งเจ้าของและพบปพทย์</t>
  </si>
  <si>
    <t>ช่างโอ๋</t>
  </si>
  <si>
    <t>มู่หลาน HN65633</t>
  </si>
  <si>
    <t>ลูกค้าร้องเรียนเรื่องประตูทางเข้ารพ.ควรมีการไต่ระดับลงไปเนื่องจากลูกค้าสะดุดเพราะเข้าใจว่าพื้นระดับเดียวกัน // ลูกเกดเห็นด้วยในเรื่องทำพื้นไต่ระดับลงเนื่องจากมีหลายบ้านที่นำรถเข็นเข้ามาในรพแต่ต้องคอยยกรถเนื่องจากเป็นพื้นต่างระดับ</t>
  </si>
  <si>
    <t>เป๋าฮื้อ</t>
  </si>
  <si>
    <t>อรุณกมล</t>
  </si>
  <si>
    <t>0846548356</t>
  </si>
  <si>
    <t>การตรวจวิเคราะห์ทางห้องปฏิบัติการ</t>
  </si>
  <si>
    <t>เจ้าของร้องเรียนเรื่องหมอไม่ดูประวัติก่อนหน้าจึงไม่ได้ตรวจค่าการแข็งตัวของเลือดทำให้เกิดปัญหาหลังผ่าตัดทำหมัน(ก่อนหน้าเึยมีประวัติมารักษาและผ่าตัดcyst ในตับและมีปัญหาเรื่องการเสียเลือดเยอะแต่รักษาหายแล้ว)</t>
  </si>
  <si>
    <t>รอบหน้าดูประวัติก่อนให้ถี่ถ้วนและโน้ตไว้ให้เห็นชัดๆ</t>
  </si>
  <si>
    <t>Ten bank non</t>
  </si>
  <si>
    <t>70000</t>
  </si>
  <si>
    <t>ใบบัว HN 2311</t>
  </si>
  <si>
    <t>คุณสิริรัตน์</t>
  </si>
  <si>
    <t>0611591463</t>
  </si>
  <si>
    <t xml:space="preserve">เจ้าของLine มาถามเรื่องนัดเมื่อวาน ทางAdmin แจ้งนัดหมายตามนัด คือ มีU/S และ มีEcho และลูกค้าสอบถามมาเรื่องการเตรียมตัวก่อนพามา Admin ตอบกลับไปตอนเช้าว่าต้องงดอาหาร ซึ่งลูกค้าออกมาแล้ว และให้ไปสอบถามหมอว่ากินข้าวแล้วU/S ได้ไหม หมอTT แจ้งว่าU/S ไม่ได้ เจ้าของเลยกลับบ้าน และไม่ok ที่เสียเวลาออกมา ทำไมเราไม่แจ้งลูกค้าก่อนตั้งแต่แรก </t>
  </si>
  <si>
    <t>โทรไปขอโทษลูกค้า และทำนัดหมายใหม่ ครั้งหน้าไม่คิดค่าใช้จ่ายเรื่องU/S</t>
  </si>
  <si>
    <t>อีฟ</t>
  </si>
  <si>
    <t>มอนเต้ มินิ 17916 17915</t>
  </si>
  <si>
    <t>คุณวรันณ์ธร</t>
  </si>
  <si>
    <t>0929474496</t>
  </si>
  <si>
    <t>พาน้องมาฝากHotel วันที่24/1/69 น้องถ่ายเหลวมีเลือดปน และเจ้าหน้าที่สอบถามกลับไปว่าให้หมอตรวจก่อนกลับไหม ซึ่งไม่ควรถามแบบนี้ ควรถามว่าน้องมีอาการแบบนี้ ขออนญาติให้หมอตรวจ และFront ข้างหน้าไม่พร้อมรับลูกค้าเลยดูยุ่งตลอดเวลา ในวันที่25/1/69 เวลา 17.33น. สอบถามมาทางAdmin ชื่อเชื้อแบคทีเรีย Admin แจ้งว่าผลยังไม่ออก แต่ที่จริงผลออกแล้วเพราะหมอโทรมาแจ้งผลแล้ว แต่เจ้าของจำชื่อไม่ได้ ซึ่งรับเรื่องจะไปสอบถามหมอตั้งแต่วันที่25/1/69 จนวันที่1/2/69 หมอพึ่งโทรมาแจ้ง รับเรื่องไปนานมาก ไม่ตามเรื่องเลย และวันที่1/2/69 มีพยาบาลโทรมาCF. ซึ่งคำตอบที่ถามไปยังไม่ได้คำตอบเลย จะบอกว่าอาการท้องเสียกลับบ้านมาก้อยังไม่หาย ต้องพาไปรักษาที่อื่นเอง เพื่อนก้อบอกมาว่าเคยมาฝากเลี้ยงที่นี่ก้อท้องเสียกลับบ้าน</t>
  </si>
  <si>
    <t>โทรไปรับฟัง และขอโทษลูกค้า จะนำเรื่องนี้เข้าที่ประชุมและปรับปรุง</t>
  </si>
  <si>
    <t>จ๊ะโอ๋/ซานิ</t>
  </si>
  <si>
    <t>ข้าวตัง HN 15110</t>
  </si>
  <si>
    <t>คุณกุสุมน</t>
  </si>
  <si>
    <t>0818251416</t>
  </si>
  <si>
    <t>เจ้าของมารับน้องกลับบ้าน ขึ้นมาทีวอร์ดพบหมอนั่งส่งเวรกันอยู่ ซึ่งประมาณ 30 นาทีได้ ไม่มีใครสนใจลูกค้าเลย จนน้องพยาบาลต้องมาปลดน้ำเกลือให้ เลยสอบถามหมอว่าน้องกลับได้รึยัง หมอตอบว่าได้ เลยพาน้องลงมาเอง แล้วรู้ไม่ok เพราะหมอไม่สนใจเลยต้องให้ถามเอง</t>
  </si>
  <si>
    <t>โทรไปรับฟัง และขอโทษลูกค้า และจะแจ้งทางทีมแพทย์ให้</t>
  </si>
  <si>
    <t>WJ TT</t>
  </si>
  <si>
    <t>ตุ้ยนุ้ย 65530</t>
  </si>
  <si>
    <t>คุณฉลวย</t>
  </si>
  <si>
    <t>0887951959</t>
  </si>
  <si>
    <t>ลูกค้าไม่ok กับการใช้คำพูดของเจ้าหน้าที่Cashier ที่ถามว่าน้องต้องอยู่ถึงวันไหน จะขอเก็บเงินเพิ่ม ซึ่งไม่รู้ว่าหรอกว่าน้องจะอยู่ถึงวันไหนต้องถามหมอ และลูกค้ามาทุกวัน ทำไมไม่มีใครแจ้งUpdate เลย และเวลามาเยี่ยมก้อช้า หน้าFront ยืนคุยเล่นกัน โยนกันไปมาให้โทรแจ้งWard และมีมาถามซ้ำว่ามาเยี่ยมน้องชื่ออะไรซึ่งบอกไปกับอีกคนแล้ว ทำไมไม่คุยกัน เจอแบบนี้หลายรอบ เลยจะเอาน้องกลับวันนี้เลย</t>
  </si>
  <si>
    <t>โทรไปรับฟัง ขอโทษ และจะแจ้งทีมหน้าเคาน์เตอร์ให้ปรับปรุง ยังขอโอกาสให้ลูกค้ามาใช้บริการ</t>
  </si>
  <si>
    <t>จิ๊บ Cashier</t>
  </si>
  <si>
    <t>คัสตาร์ด</t>
  </si>
  <si>
    <t>ญาณัจฉรา มั่นศิริไพบูลย์</t>
  </si>
  <si>
    <t>0925508663</t>
  </si>
  <si>
    <t>เจ้าของพบว่ามีการใส่ยาขับน้ำสลับซอง ระหว่าง spironolactone กับ torsemide</t>
  </si>
  <si>
    <t>เสี่ยวอัน 19761</t>
  </si>
  <si>
    <t>คุณพัทธ์ฐิชา</t>
  </si>
  <si>
    <t>0649879503</t>
  </si>
  <si>
    <t>จริงๆที่นี่ให้บริการดีอยู่นะคะ สถานที่สะอาด คุณหมอ จนท บริการดีค่ะ แต่ เชื่อว่ายังดีได้กว่านี้อีกค่ะอยากจะขอเสนอแนะให้ปรับปรุง   1. เรื่อง การดูแลน้องในWard ผู้ป่วยในค่ะ เนื่องจาก เมื่อคืน วันที่21 กพ.2569 เวลาประมาณ 21.30 น. บังเอิญว่ากำลังเยี่ยมน้องอยู่ แล้วจนท ที่ป้อนอาหารเปียกน้อง แต่ด้วยน้องเสี่ยวอัน เปนโรงมะเร็งต่อมทอนซิล จะมีอาการเจ็บปากและเหงือกมากๆ โดยเฉพาะเวลาอ้าปาก และมีปัญหาเรื่องการกลืน เพราะก้อนเนื้องอก ไปเบียดหลอดอาหารและหลอดลม น้องจำเป็นจะต้องกินอาหารเหลว ไม่ควรข้น เพื่อที่จะช่วยให้น้องกลืนง่ายขึ้น และการป้อนอาหารก็ควรจะเบามือ และใจเย็นมากๆค่ะ ลักษณัการป้อนอาจจะต้องป้อนพิเศษกว่าสุนัขป่วยตัวอื่น แต่ที่แม่เห็นคือ จนท ไม่อุ้มน้องออกมาป้อน ให้น้องนอนหมอบ และ ป้อนแบบเอาสลิง ยัดไปในปาก ซึ่งแม่มองว่าวิธีนี้อาจไม่เหมาะกับเคสน้องเสี่ยวอัน เพราะน้องคงจะเจ็บปากและเหงือกมาก ปกติแล้ว ถ้าอยู่บ้าน เราจะค่อยหยอดป้อนอย่างเบามือ และใจเย็นที่สุด เพราะคุณหมอมะเร็ง(อาจารย์อนุเทพ) เคยบอกว่า เสี่ยวอันเค้า ถ้าไปอ้าปากเค้ามาก เค้าจะเจ็บ เราเลยระมัดระวังเป็นพิเศษ  จริงๆแล้ว จนท ที่ดูแลน้อง ควรจะทราบปัญหาการเจ็บป่วยของน้องว่า น้องแต่ละตัวที่ป่วย แล้วมารักษาแอดมิท ต้องระมัดระวัง รอยโรคเดิมที่เป็นอยู่แบบใด อย่างไรย้าง ควรดูแลอย่างไร ถึงจะช่วยประคับประคองไม่ให้น้องต้องเจ็บปวดเพิ่ม แม่เข้าใจค่ะ ว่า จนท อาจจะไม่ได้มีเจตนา แต่อาจจะป้อนอาหารปกติเหมือนที่เคยป้อนน้องๆป่วยตัวอื่นๆ แต่มันจะดูแลเหมือนกันทุกตัวไม่ได้ เพราะแต่ละตัวป่วยคนละโรค sensitive คนละอย่างคะ จึงอยากจะขอให้ปรับปรุงเรื่องนี้  (ใจจริงอยากจะพาแม่บ้านที่บ้าน มาสอนการป้อนอาหารและยาสัตว์ป่วยให้จนท ที่นี่เลยนะคะ มาทำให้ดูเป็นตัวอย่าง)  2. เรื่องการป้อนยา ตอนที่น้องเข้าแอดมิท แม่ได้แจ้งคุณหมอเฟิร์ส แล้วว่าน้องมียาเดิมที่กินอยู่ค่อนข้างเยอะ ยาแต่ละตัว มีระยะเวลาการกินด้วย รบกวนให้ช่วยป้อนให้ตรงกับฉลากยาแต่ละชนิด ที่สำคัญ คือ มียาจีน“เพี่ยงจือหวัง”ที่ต้องกิน ทุกวันเช้า-เย็น เพื่อช่วยรักษา ลดการอักเสบของก้อนเนื้องอกมะเร็ง วิธีกินคือ ต้องกินหลังอาหาร และห่างจากยาแผนปัจจุบันไม่ต่ำกว่าครึ่งชั่วโมง ยาเปนแคปซูลค่ะ แต่น้องกลืนเองไม่ได้ เราจะต้องผสมน้ำอุ่น และป้อนเค้าทางสลิง แต่ ที่ทราบจากจนท หลังจากที่ป้อนอาหารน้องเมื่อคืน คือ จนท เอายาผสมกับอาหารแล้วมาป้อนน้อง ซึ่งสิ่งที่แม่เห็น จนท ป้อนอาหารน้องไม่หมด ยังเหลืออาหารอยู่ในถ้วย และแน่นอนค่ะ ถ้าอาหารไม่หมด ยาที่ผสมลงไปในอาหาร ก็คงจะยังเหลืออยู่ ประเด็นสำคัญคือ น้องก็จะได้รับยาไม่ครบตามโดสที่ควรจะได้รับ ฤทธิ์ของยาที่จะช่วยน้องก็ลดลง อันนี้คือสำคัญมากนะคะ และ ยาตัวนี้ มีราคาค่อนข้างสูงมาก ตกเม็ดละ200 ++บาทเลย คือบอกตรงๆว่าตกใจมาก ที่ได้รู้ เพราะก่อนหน้านี้ไม่เคยรู้ นี่น้องแอดมิดผ่านมา4วันแล้ว น้องได้รับยาไม่ครบโดส แบบนี้ ทั้งเช้าและเย็น นี่เค้าทิ้งยาเราไป4วันแล้วหร๋อ!! อยากให้เข้าใจเรานะคะ น้องไม่มีทางเลือกที่จะรักษาวิธีอื่นแล้ว เราได้แต่ประคับประคองโรคมะเร็ง เพื่อคุณภาพชีวิตที่เหลือของเค้าจะได้ไม่เจ็บปวด มีเพียงยาจีนตัวนี้ ซึ่งอ.อนุเทพเอง ก็เห็นด้วยที่ให้น้องกินยาตัวนี้   แม่เครียดมากเลยค่ะ เมื่อคืนนอนไม่หลับเลย ทำให้อดคิดไม่ได้ว่า แล้วยาตัวอื่นหล่ะ ป้อนครบมั้ย มียาบำรุงเลือดที่ต้องป้อนก่อนหาร1ชั่วโมงด้วย /ยาแก้ปวด เม็ดเล็กมากๆ แล้วป้อนยังไง ผสมอาหารอีกหรือไม่ แล้ว ยาบำรุงตับอีก ที่ต้องกินหลังอาหาร15นาที ทุกอย่างมีเวลาระบุอยู่ข้างฉลาก ยอมรับค่ะว่ายาน้องค่อนข้างเยอะและละเอียดมากจริงๆ พอเกิดเรื่องแบบนี้น้องจะได้ยารับครบมั้ยกังวลใจมากค่ะ เรื่องนี้คือไม่โอเคมากๆเลยค่ะ ยอมรับว่าโกรธนะคะ แต่ข่มอารมณ์ไว้ค่ะ น้องยังต้องรักษาอยู่  3. เรื่องยาหยอดตา ที่ต้องหยอดทุกๆ2-4ชั่วโมง ที่คุณหมอตั้มเปนหมอที่ดูแลเรื่องตา เสี่ยวอันรักษามา2เดือนแล้ว และรักษาจนตาดีขึ้นและใกล้จะหายแล้ว แต่แม่สังเกตุว่า ตั้งแต่น้องมาแอดมิท ทุกครั้งที่เข้าเยี่ยมน้อง น้องจะตาแห้งมากๆ ไม่แน่ใจว่าจนท ได้หยอด ครบมั้ย แต่ก็ได้กำชับกับคุณหมอทุกท่านเรื่องหยอดตา ทุกครั้งที่เข้าเยี่ยมน้องตลอดนะคะ  คือทั้งหมดนี้เป็นเพียงส่วนหลักๆที่อยากจะรบกวนแจ้งนะคะ ยังมีรายละเอียดเล็กๆร้อยๆอีกนิดหน่อย แต่ถ้าพิมพ์คงจะยืดยาวมาก เจ้าของอยากให้ทางรพส เข้าใจ ในมุมของเจ้าของน้องทุกคน ที่พาน้องมารักษา เรามีเป้าหมายเดียวกัน คือ รักษาอาการเจ็บป่วยของน้อง และช่วยประคับประคองน้องให้รอดชีวิตให้ได้มากที่สุด เท่าที่เราจะช่วยเค้าได้ ซึ่ง แม่ก็ไม่รู้ว่าน้องจะไหวหรือไม่ไหว แต่แม่ก็อยากทำทุกอย่างอย่างเต็มที่ที่สุด จะได้ไม่ต้องมาเสียใจภายหลัง แม่ไม่ได้เป็นคนเยอะหรือเรื่องมากนะคะ แต่แม่เป็นคนละเอียด และรักน้องมากๆ รักมาก กว่ารักตัวเองด้</t>
  </si>
  <si>
    <t xml:space="preserve">รับเรื่องและกล่าวขอโทษลูกค้าและจะแจ้งทีมเพื่อปรับปรุงแก้ไข และนั่งดูที่เจ้าของอยากให้ป้อนข้าวป้อนยาแบบที่เจ้าของทำที่บ้าน  </t>
  </si>
  <si>
    <t>0431</t>
  </si>
  <si>
    <t>เจ้าหน้าที่ipd</t>
  </si>
  <si>
    <t>ทองแท่ง 7731</t>
  </si>
  <si>
    <t>สลิลดา</t>
  </si>
  <si>
    <t>0876983098</t>
  </si>
  <si>
    <t>ติดฉลากยาบนซองยา บนขวดติดแค่ชื่อยา</t>
  </si>
  <si>
    <t>แจ้งลูกค้าว่าจะเรียกรถนำยากลับมาติดฉลากยาให้</t>
  </si>
  <si>
    <t>0101</t>
  </si>
  <si>
    <t>ปฏิมากร</t>
  </si>
  <si>
    <t>ซูชิ</t>
  </si>
  <si>
    <t xml:space="preserve">Austin Hongpitakpong </t>
  </si>
  <si>
    <t>แอร์ร้อน ห้องในวอร์ดร้อน เปิดแอร์แล้วน้ำไหล</t>
  </si>
  <si>
    <t>พยายามแจ้งให้ช่างมาซ้อม(หลายรอบแล้ว)</t>
  </si>
  <si>
    <t>0143</t>
  </si>
  <si>
    <t>มาดเมษา บุรารักษ์</t>
  </si>
  <si>
    <t>8101</t>
  </si>
  <si>
    <t>ปริญญา บัวรสศักดิ์</t>
  </si>
  <si>
    <t>0800581064</t>
  </si>
  <si>
    <t>การดูแล/รักษาผู้ป่วย - OR</t>
  </si>
  <si>
    <t>จข.ลีโอทักไลน์ IPD มาว่าอาเจียนเป็นก๊อซ (วันที่ 24/2 ขูดหินปูน วันที่ 28/2 รับกลับบ้าน) เจ้าของน่ารักไม่โวยวาย</t>
  </si>
  <si>
    <t xml:space="preserve">หมอ ST โทรคุยอาการกับขอโทษเจ้าของแล้ว นัดให้มา ultrasound ช่องท้องวันที่ 2/3 กับหมอฟ้า </t>
  </si>
  <si>
    <t>1048</t>
  </si>
  <si>
    <t>หมออิ๊ก และหมอฟ้า คนผ่าตัดและวางยา หมอทรายตรวจสอบฟัน หมอต้องแต๊งเจ้าของไข้ ผู้รับเรื่อง และคนคุยกับลูกค้า</t>
  </si>
  <si>
    <t>ตัวเล็ก HN 66171</t>
  </si>
  <si>
    <t>พสิษฐ์</t>
  </si>
  <si>
    <t>0639352828</t>
  </si>
  <si>
    <t>การแจ้งอาการของหมอค่อนข้างล่าช้า ต้องโทรตามตลอด บอกว่าจะติดต่อกลับก้อไม่โทรกลับ การรายงานของแผนกIPD ก้อรายงานไม่เหมือนกัน มีการCopy ส่ง ซึ่งทำให้เจ้าของซีเรียสว่าสัตว์เลี้ยงมีอาการหนัก ในเรื่องของการแจ้งความดันผิด</t>
  </si>
  <si>
    <t>ขอโทษลูกค้า และทำการแจ้งหัวหน้าแพทย์แล้ว</t>
  </si>
  <si>
    <t>หมอPNS , หมอEVE , IPD น้ำฝน</t>
  </si>
  <si>
    <t>มัทฉะ HN 7672</t>
  </si>
  <si>
    <t>คุณณจารีย์กร</t>
  </si>
  <si>
    <t>0828516965</t>
  </si>
  <si>
    <t>เจ้าของส่งน้องมากับPet Taxi แจ้งมาทางLine ว่าให้หมอโทรมาก่อนตรวจ แต่ก้อไม่ได้โทรมา น้องมียาก้อไม่ได้ยากลับมา ที่รู้ว่ามียาเพราะหมอโทรมาบอก ใบเสร็จค่าใช้จ่ายก้อไม่มีมาให้ ต้องคอยโทรตามเรื่องเองหมดเลย</t>
  </si>
  <si>
    <t>โทรไปรับฟัง และขอโทษจะนำเรื่องนี้ไปแจ้งทีมให้ปรับปรุง และให้น้องCashier ส่งใบเสร็จให้ทางLine</t>
  </si>
  <si>
    <t>เนเน่ HN8192</t>
  </si>
  <si>
    <t>เจ้าของไม่ค่อยพอใจในโซน ward ดูแลแมวเนื่องจากตู้ค่อนข้างเล็ก กังวลเรื่องความสะดวกสบายของน้องแมว</t>
  </si>
  <si>
    <t>ให้อยู่ในวอร์ดเลยตัวเดียวทั้งห้อง</t>
  </si>
  <si>
    <t xml:space="preserve">มัฟฟิน </t>
  </si>
  <si>
    <t>ห้องแมว Scu ไม่สามารถใส่กระบะทรายได้แมวตัวเดียวก็เต็มแล้วค่ะ</t>
  </si>
  <si>
    <t>เจาะทำที่กั้นแบ่งเป็นตูเล็กและใหญ่ได้</t>
  </si>
  <si>
    <t>Nala 7442</t>
  </si>
  <si>
    <t>หมอ IS คีย์ค่าหมอผิด จาก opd3(phuket) เป็น opd3เฉพาะทาง ทำให้เรียกเก็บเงินลูกค้าเกิน</t>
  </si>
  <si>
    <t>โมฟร้อน</t>
  </si>
  <si>
    <t>41260001452</t>
  </si>
  <si>
    <t>opd3เฉพาะทาง 650 - opd3(phuket) 374.5 = 275.5 บาท</t>
  </si>
  <si>
    <t>มิกิ</t>
  </si>
  <si>
    <t>นัดดาวัล บุญใหญ่</t>
  </si>
  <si>
    <t>คุณหมอส่งตรวจแลป cyto เพื่อคอนเฟิร์มเชื้อแต่ทางแลปไม่รับตรวจแต่คีย์ค่าใช้จ่ายลูกค้าแล้ว</t>
  </si>
  <si>
    <t>ทำเรื่องคืนเงิน prepayment ให้ลูกค้า</t>
  </si>
  <si>
    <t>31260001314</t>
  </si>
  <si>
    <t>Diagnostic cytology slide (VDL) 679.5 บาท</t>
  </si>
  <si>
    <t>75287</t>
  </si>
  <si>
    <t>ศศินันท์</t>
  </si>
  <si>
    <t>0877280990</t>
  </si>
  <si>
    <t>ลืมคีย์ค่า X-ray 1 ท่า</t>
  </si>
  <si>
    <t>หมอโทรแจ้งขออภัยในค.ไม่สะดวกลูกค้าเอง ขอเก็บค่าใช้จ่ายเพิ่ม 650 บาท qr code ทางไลน์</t>
  </si>
  <si>
    <t>Sydney HN.74989</t>
  </si>
  <si>
    <t>คุณฟ้า</t>
  </si>
  <si>
    <t>0936395924</t>
  </si>
  <si>
    <t xml:space="preserve">IPD ส่งน้องกลับบ้าน และให้ยาตัวอื่นกลับไปด้วย ทำให้เจ้าของป้อนยาของตัวอื่นไป และโทรมาเป็น 10 สายไม่มีใครรับสาย พอรับสายก้อดูไม่กระตือรือร้น เพราะปรึกษาอาการน้องชัก </t>
  </si>
  <si>
    <t>รับฟัง และขอโทษลูกค้า ให้หมอPW ช่วยโทรอธิบายเรื่องยาที่กินผิดไปว่าอันตรายไหม</t>
  </si>
  <si>
    <t>มาย ตองIPD , วิว Care center</t>
  </si>
  <si>
    <t>Friday HN74838</t>
  </si>
  <si>
    <t>คุณจุติมา</t>
  </si>
  <si>
    <t>0908897249</t>
  </si>
  <si>
    <t xml:space="preserve">ให้อาหารไม่ครบมื้อ แจ้งให้ 4 มื้อ แต่เราให้ 2 มื้อ </t>
  </si>
  <si>
    <t>รับฟัง และขอโทษลูกค้า</t>
  </si>
  <si>
    <t>หมอEVE , พยาบาลทราย และพยาบาลขอบฟ้า</t>
  </si>
  <si>
    <t>น้องแมวขาว 75411</t>
  </si>
  <si>
    <t>หมอประเมินราคาแอดมิทและให้วางมัดจำ 5,000 บาท แต่ภายหลังลูกค้าขอรับกลับก่อนทำให้เงินมัดจำเหลือ และลูกค้าต้องการเงินคืน</t>
  </si>
  <si>
    <t>หมอ BL</t>
  </si>
  <si>
    <t>41260001736</t>
  </si>
  <si>
    <t>Prepayment 961.90	บาท</t>
  </si>
  <si>
    <t>กะตัง 17239</t>
  </si>
  <si>
    <t>JL + BL</t>
  </si>
  <si>
    <t>สัตว์มีนัดอาบน้ำและตรวจ ซึ่งตามแผนคืออาบน้ำเสร็จแล้วต้องฉีดยาและให้น้ำเกลือต่อ แต่หลังจากอาบน้ำเสร็จฟร้อนเรียกลูกค้าจ่ายเงินและกลับบ้านเลยทั้งที่ยังไม่ได้พบหมอ และนัดที่ลิงค์ไว้ก็ยังไม่ได้กดเริ่ม ฟร้อนแจ้งว่าก็ลูกค้าเดินมาจ่ายเงินเองแล้วบอกว่าเสร็จหมดทุกอย่างแล้วก็เลยเรียกเก็บเงินปกติไม่ได้ดูบิล</t>
  </si>
  <si>
    <t>ก่อนเรียกเก็บเงินดูก่อนว่านัดที่ลิงค์ไว้มีการกด start or complete แล้วหรือยัง ไม่ใช่เรียกเก็บตามลูกค้าบอกอย่างเดียว</t>
  </si>
  <si>
    <t>BL, โสรายา</t>
  </si>
  <si>
    <t>อ้อน</t>
  </si>
  <si>
    <t>Mie</t>
  </si>
  <si>
    <t>0814944944</t>
  </si>
  <si>
    <t>ไม่มีคนรับสายเวลาโทรเข้าไปหรือรับสายช้ามาก ต้องโทรไปถึง3-4ครั้งกว่าจะติดต่อได้ รวมถึงไลน์ด้วย ตอบช้ามากๆๆ ในมุมขอลูกค้าการติดต่อไม่ว่าจะทางไหนของโรงพยาบาลมีความสำคัญมาก เพราะทุกนาทีอาจจะหมายถึงชีวิตของสัตว์เลี้ยง(ถ้ามีเหตุฉุกเฉิน) เรื่องนี้เกิดขึ้นบ่อยมาก โทรไป10ครั้งอาจจะมีแค่ครั้งเดียวที่มีคนรับสายทันที ซึ่งไม่โอเคสำหรับโรงพยาบาลขนาดใหญ่ ครั้งนี้ติดต่อไปเพื่อจองห้องฝั่ง รร ไม่ได้เร่งด่วน แต่เรื่องนี้ไม่ควรเกิดขึ้นไม่ว่าจะด่วนหรือไม่ก็ตาม</t>
  </si>
  <si>
    <t xml:space="preserve">เพิ่มคู่สายหรือพนักงาน แยกเบอร์ติดต่อระหว่างฝั่ง รพ กับ โรงแรม/อาบน้ำตัดขน ควรมีพนักงานเพื่อตอบไลน์โดยเฉพาะ  </t>
  </si>
  <si>
    <t>Monster</t>
  </si>
  <si>
    <t>สุภัสสรา</t>
  </si>
  <si>
    <t>0612063000</t>
  </si>
  <si>
    <t>บ้าน Monster (64712)-ลูกค้าพาน้องไปล้างปากที่อารักสาขาประดิษฐ์พบว่า CC. 1.รับน้องกลับพยาบาลไม่ปลดเส้นให้น้ำเกลือออก  2.ได้น้ำยาล้างปากกลับบ้านแต่หมอและพยาบาลไม่มีใครสอนหรือแจ้งวิธีการล้างปาก 3.ลูกค้ากลับไปแล้วมีเจ้าหน้าทีโทรแจ้งให้มารับสเปย์พ่นปากพร้อมแจ้งว่าพ่นอาทิตย์ล่ะครั้ง ฉลากแปะแค่ชื่อยาไม่มีวิธีการใช้(ชึ่งโรงบาลอื่นมีวิธีใช้ชัดเจน)อยากให้แปะฉลากวิธีการใช้ที่ชัดเจน</t>
  </si>
  <si>
    <t>โทรหาลูกค้า กล่าวคำขอโทษกับเหตุการณ์ที่เกิดขึ้น จะย้ำในทีมเรื่องกระบวนการส่งสัตว์เลี้ยงกลับบ้าน พร้อมทวนสอบกับน้องพยาบาลที่ไปส่งน้องไม่ทำตามกระบวนการ  และจะนำไปแจ้งในทีมให้ปรับปรุงแก้ไขค่ะ</t>
  </si>
  <si>
    <t>แหนม</t>
  </si>
  <si>
    <t>ไชเท้า 76087</t>
  </si>
  <si>
    <t>หมอประเมินเก็บมัดจำสำหรับแอดมิทเยอะเกินความจริง หลังจากแอดมิท 1 คืนแล้วอาการดีขึ้นเจ้าของต้องการรับกลับทันที ทำให้ยังเหลือเงินมัดจำค้างในระบบและลูกค้าต้องการให้โอนคืนทั้งหมด</t>
  </si>
  <si>
    <t>การประเมินราคาที่เหมาะสมและถูกต้อง</t>
  </si>
  <si>
    <t>หมอ IS</t>
  </si>
  <si>
    <t>41260002040</t>
  </si>
  <si>
    <t>เงินมัดจำ 1,025.80 บาท</t>
  </si>
  <si>
    <t>Milo 66020</t>
  </si>
  <si>
    <t>เด่นพงศ์</t>
  </si>
  <si>
    <t>0654599070</t>
  </si>
  <si>
    <t xml:space="preserve">ลูกค้าเข้ามาส่งสัตว์เลี้ยงเพื่อทำการอาบน้ำ ตามนัดที่คุณหมอให้ไว้ล่วงหน้า เพื่อรักษาผิวหนัง ก่อนรับเข้า พนักงานได้สอบถามและยืนยันอีกครั้ง ว่าลูกค้าต้องการทำรายการอะไรบ้าง เนื่องจากลูกค้าบ้านนี้ ค่อนข้างห่วงขนของน้องหมามาก จึงสอบถามก่อน เพื่อป้องกันการเกิดปัญหา และลูกค้าแจ้งว่าไม่ทำอะไรเลย อาบน้ำอย่างเดียวและทำทุกอย่างเหมือนรอบก่อนหน้านี้ เมื่อมารับกลับ ลุกค้าโวยวายว่า ฉันจองอาบน้ำ+ตัดขน ไม่ได้อาบน้ำอย่างเดียว ทางพนักงานจึงตรวจสอบ พบว่าตอนที่แจ้ง คอนเฟิร์มนัด ลูกค้าพิมพ์แจ้งมาว่า Wash and Groom แต่พนักงาน CF นัดไปตามนัดที่หมอทำนัดมา แต่ทั้งนี้ พนักงานได้ทำการสอบถามอีกครั้งแล้ว ตอนที่เจ้าของมาส่ง ทำให้เกิดเหตุการณ์ที่ลูกค้าโวยวายด้วยน้ำเสียงและพฤติกรรมที่หยาบคายว่าทำไม่ไม่ตัดขนด้วย พนักงานจึงพยายามอธิบาย ขออภัยและหาทางออกของปัญหาแต่ ลค.ไม่รับฟังและยังคง ใช้น้ำเสียง+พฤติกรรมที่หยาบคายขึ้นเรื่อยๆ และสบถด่าพนักงานด้วยคำหยาบ และจบด้วยการเปิดกระแทกประตู และบ้วนหมากฝรั่งที่เคี้ยวในปากเขวี้ยงใส่พนักงาน แต่พลาดโดนประตูแทน หลัง ลค.ออกไป ลค.ก็พิมพ์แชท Line มาบอกว่า จะไม่มาอีก ให้ CC นัดทั้งหมดที่นี่ พนักงาน จึงทำการ พิมพ์ขออภัยอีกครั้ง </t>
  </si>
  <si>
    <t xml:space="preserve">ขออภัยลูกค้า และแจ้งว่า หากต้องการตัดขนด้วย สามารถพากลับมาใหม่ในวันพรุ่งนี้ เนื่องจากวันนี้ คิวนัดของ Grooming เต็มแล้ว แต่ลูกค้าก็ไม่ฟังและบอกว่ามาไม่ได้ </t>
  </si>
  <si>
    <t>เด่นพงศ์ / ธนพร / รัญชิดา</t>
  </si>
  <si>
    <t>Choco 76576</t>
  </si>
  <si>
    <t>Kunihiko Inoue</t>
  </si>
  <si>
    <t>0950861555</t>
  </si>
  <si>
    <t>ลูกค้าใหม่ไม่เคยลงทะเบียน อ้างว่าเป็นลูกค้าเก่าตอนเป็นรพส.ฮักมี มาขอซื้อยาหยอดหู mometamax เลยแจ้งว่าเป็นลูกค้าใหม่ต้องลงทะเบียนใหม่ทั้งหมด รวมถึงการขอ passport เพื่อลงทะเบียนด้วย และต้องรอหมอคีย์ยาให้เพราะเป็นกลุ่มยารักษาไม่สามารถขายได้ทันทีเหมือน pet shop ลูกค้าไม่พอใจที่ต้องแสดงพาสปอร์ตและรอหมอจ่ายยาเพราะอ้างว่าเมื่อก่อนไม่เห็นต้องยุ่งยากขนาดนี้เลย</t>
  </si>
  <si>
    <t>Judy HN.9760</t>
  </si>
  <si>
    <t>คุณอนาวิล</t>
  </si>
  <si>
    <t>065 390 9636</t>
  </si>
  <si>
    <t xml:space="preserve">เมื่อคืนน้องฉุกเฉินมาตอนตี4 คนที่รับมัวแต่ซักประวัติ ให้ชั่งน้ำหนัก ทำไมไม่รีบนำน้องเข้าห้องฉุกเฉิน และก็ต่อออกซิเจนช้ามาก </t>
  </si>
  <si>
    <t>รับฟัง และขอโทษลูกค้า จะนำเรื่องนี้ไปแจ้งทีม ให้แก้ไขและปรับปรุง</t>
  </si>
  <si>
    <t>บัค HN.75219</t>
  </si>
  <si>
    <t>คุณชลธิชา</t>
  </si>
  <si>
    <t>0612375262</t>
  </si>
  <si>
    <t>รายละเอียดค่อยข้างเยอะ หลักๆคือ ไม่แจ้งรายละเอียดก่อนจะทำอะไรเลย หรือในระหว่างรอก้อไม่บอกว่าต้องรอถึงเมื่อไหร่</t>
  </si>
  <si>
    <t>รับเรื่อง ขอโทษลูกค้า จะนำไปปรับปรุง</t>
  </si>
  <si>
    <t>Steve HN.65128</t>
  </si>
  <si>
    <t>คุณกลัยกร</t>
  </si>
  <si>
    <t>0648283082</t>
  </si>
  <si>
    <t>คุณหมอตรวจแค่ฟันน้อง ซึ่งไม่เหมือนกับที่เคยพาน้องเข้าไปเหมือนแต่ก่อน ส่วนตัวมีความรูสึกว่าคุณหมอไม่มีความใส่ใจและควรที่จะตรวจเช็คให้ละเอียดและรอบคอบกว่านี้</t>
  </si>
  <si>
    <t>รับฟัง เดี๋ยวแจ้งทีมแพทย์ให้ และลงNote ว่าไม่เอาหมอRM แล้ว</t>
  </si>
  <si>
    <t>RM</t>
  </si>
  <si>
    <t>17213 selem</t>
  </si>
  <si>
    <t>ลูกค้าพาแมวมาอาบน้ำตัดขน ช่างตัดโดนหูน้องแหว่ง</t>
  </si>
  <si>
    <t>ขอโทษลูกค้า ให้ลูกค้าพาน้องมาทำแผลจนกว่าจะหาย พี่ช่างรับผิดชอบค่ารถให้ลูกค้า</t>
  </si>
  <si>
    <t>สมัญญา</t>
  </si>
  <si>
    <t>Ms.Choo HN.1711</t>
  </si>
  <si>
    <t>คุณสาริศา</t>
  </si>
  <si>
    <t>0613619942</t>
  </si>
  <si>
    <t>เจ้าของส่งปัสสาวะมาให้ตั้งแต่วันที่1/4/69 ทางห้องLab ไม่ได้ตรวจ แจ้งว่าหมอไม่ได้คีย์มา</t>
  </si>
  <si>
    <t>โทรไปขอโทษลูกค้า และขอให้ส่งปัสสาวะมาให้ใหม่</t>
  </si>
  <si>
    <t>Maya 20110</t>
  </si>
  <si>
    <t>SI</t>
  </si>
  <si>
    <t>0867288621</t>
  </si>
  <si>
    <t>หลังจากพามาอาบน้ำกลับบ้านไป พบสังกะตังหลายจุด เจ้าของไลน์มาสอบถามว่าเกิดขึ้นเพราะอะไร Admin แจ้งกลับไปแค่ว่าน่าจะเพราะสวมเสื้อให้น้อง จึงทำให้เกิดสังกะตัง</t>
  </si>
  <si>
    <t>สอบถามรายละเอียดจากช่าง Grooming ก่อนจึงอธิบายให้เจ้าของหลังจากได้รายละเอียดและเหตุผลจากช่างเรียบร้อยดีแล้ว</t>
  </si>
  <si>
    <t>Poppy HN 5677</t>
  </si>
  <si>
    <t>คุณJooyeon</t>
  </si>
  <si>
    <t>0959370481</t>
  </si>
  <si>
    <t>Hotel</t>
  </si>
  <si>
    <t>มาฝากเลี้ยง 2 อาทิตย์ มารับกลับบ้านไปเมื่อวานตี2 น้องจามเป็นหวัด วันนี้พามาตรวจกับหมอ หมอแจ้งว่าหลอดลมอักเสบ อาจจะเป็นหลังจากอาบน้ำ</t>
  </si>
  <si>
    <t>ให้มาตรวจกับคุณหมอโดยไม่มีค่าใช้จ่าย</t>
  </si>
  <si>
    <t xml:space="preserve">อ้อน ขอบฟ้า </t>
  </si>
  <si>
    <t xml:space="preserve"> </t>
  </si>
  <si>
    <t>กระบวนการที่ถูก Complain2</t>
  </si>
  <si>
    <t>อัพเดทการจัดการ</t>
  </si>
  <si>
    <t>วันที่จัดการ</t>
  </si>
  <si>
    <t>status</t>
  </si>
  <si>
    <t>ยังไม่ได้ติดต่อ</t>
  </si>
  <si>
    <t>การสื่อสารด้าน Cliinical</t>
  </si>
  <si>
    <t>ติดต่อไม่ได้</t>
  </si>
  <si>
    <t>ติดต่อแล้ว - รอลูกค้าตัดสินใจ</t>
  </si>
  <si>
    <t>การคีย์ Order</t>
  </si>
  <si>
    <t>ติดต่อแล้ว - รอภายในตัดสินใจ</t>
  </si>
  <si>
    <t>ปิดเคส - neutral</t>
  </si>
  <si>
    <t>ติดต่อแล้ว - แจ้งความคืบหน้ากับลูกค้าแล้ว</t>
  </si>
  <si>
    <t>ติดต่อแล้ว - ดำเนินการชดเชยแล้ว</t>
  </si>
  <si>
    <t>ปิดเคส - positive</t>
  </si>
  <si>
    <t>ปิดเคส - negative</t>
  </si>
  <si>
    <t>การตรวจวิเคราะห์ทางห้องปฏิบัติการภายนอกโรงพยาบาล</t>
  </si>
  <si>
    <t>ซ้ำ</t>
  </si>
  <si>
    <t>ขอโทษลูกค้า</t>
  </si>
  <si>
    <t>ไม่เก็บเงินค่ากล้องคืนที่แถม</t>
  </si>
  <si>
    <t>31 Sept 25</t>
  </si>
  <si>
    <t>คุณเต้ทำเรื่องคืนเงินให้ลูกค้า</t>
  </si>
  <si>
    <t>โทรคุยกับลูกค้าแล้ว  offer ให้มาตรวจกับหมอแบงค์ ลค ขอตัดสินใจอีกทีค่ะ</t>
  </si>
  <si>
    <t>พี่หน่อยทีม Admni ติดต่อลูกค้าไปทาง Email แล้ว ลูกค้ายังไม่ตอบกลับค่ะ</t>
  </si>
  <si>
    <t>Count of Id</t>
  </si>
  <si>
    <t>Column Labels</t>
  </si>
  <si>
    <t>ต้องคืนเงินหรือไม่</t>
  </si>
  <si>
    <t>ประเภท</t>
  </si>
  <si>
    <t>definition</t>
  </si>
  <si>
    <t>CC</t>
  </si>
  <si>
    <t>ลูกค้าร้องเรียนเข้ามา</t>
  </si>
  <si>
    <t>NC</t>
  </si>
  <si>
    <t>การร้องเรียนภายในเมื่อผิด process</t>
  </si>
  <si>
    <t>ยกเว้นหากต้องมีดารชดเชย จะปรับขึ้นเป็น CC</t>
  </si>
  <si>
    <t>Update Detail with grouping</t>
  </si>
  <si>
    <t>link ข้อมูลมาจาก sheet 1 (ที่เก็บข้อมูลจาก survey ที่กรอก) มาเพื่อใส่รายละเอียดเพิ่มเติมและอัพเดท status การจัดการ</t>
  </si>
  <si>
    <t>ผู้กรอก survey</t>
  </si>
  <si>
    <t>ใครก็ได้ที่รับเรื่องจากหน้างาน รวมถึง social channel เช่น Google review</t>
  </si>
  <si>
    <t>ผูู้้อัพเดท status</t>
  </si>
  <si>
    <t>แผนกที่เกี่ยวข้อง</t>
  </si>
  <si>
    <t>ใส่ client note ความต้องการพิเศษ หรือปัญหาลูกค้า (.../วันที่/ชื่อผู้บันทึก)</t>
  </si>
  <si>
    <t>ใส่ patient note ความต้องการพิเศษ หรือปัญหาตัวสัตว์ (.../วันที่/ชื่อผู้บันทึก)</t>
  </si>
  <si>
    <t>ปิดเคส = ไม่ต้องติดต่อเค้าไปแล้ว</t>
  </si>
  <si>
    <t>ปิดเคส negative &gt;&gt;&gt; ติด tag "ห้ามติดต่อ"</t>
  </si>
  <si>
    <t>Google review ใส่ชื่อผู้ร้องเรียนว่า Google review - ชื่อจริง/ชื่อใน review</t>
  </si>
  <si>
    <t>Row Labels</t>
  </si>
  <si>
    <t>(blank)</t>
  </si>
  <si>
    <t>#VALUE!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</si>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</sst>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b/>
      <sz val="11"/>
      <color theme="0"/>
      <name val="Calibri"/>
      <family val="2"/>
      <scheme val="minor"/>
    </font>
    <font>
      <sz val="11"/>
      <color rgb="FF000000"/>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14" fontId="0" fillId="0" borderId="0" xfId="0" applyNumberFormat="1"/>
    <xf numFmtId="0" fontId="0" fillId="0" borderId="0" xfId="0" quotePrefix="1"/>
    <xf numFmtId="49" fontId="0" fillId="0" borderId="0" xfId="0" applyNumberFormat="1"/>
    <xf numFmtId="49" fontId="0" fillId="0" borderId="0" xfId="0" quotePrefix="1" applyNumberFormat="1"/>
    <xf numFmtId="14" fontId="0" fillId="0" borderId="0" xfId="0" quotePrefix="1"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1"/>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49" fontId="0" fillId="0" borderId="0" xfId="0" quotePrefix="1" applyNumberFormat="1" applyAlignment="1">
      <alignment horizontal="center"/>
    </xf>
    <xf numFmtId="0" fontId="0" fillId="0" borderId="0" xfId="0" quotePrefix="1" applyAlignment="1">
      <alignment horizontal="center"/>
    </xf>
    <xf numFmtId="3" fontId="0" fillId="0" borderId="0" xfId="0" quotePrefix="1" applyNumberFormat="1"/>
    <xf numFmtId="49" fontId="0" fillId="0" borderId="0" xfId="0" applyNumberFormat="1" applyAlignment="1">
      <alignment wrapText="1"/>
    </xf>
    <xf numFmtId="0" fontId="0" fillId="0" borderId="0" xfId="0" applyAlignment="1">
      <alignment horizontal="left" indent="2"/>
    </xf>
    <xf numFmtId="14" fontId="0" fillId="0" borderId="0" xfId="0" applyNumberFormat="1" applyAlignment="1">
      <alignment vertical="center" wrapText="1"/>
    </xf>
    <xf numFmtId="0" fontId="0" fillId="0" borderId="0" xfId="0" applyAlignment="1">
      <alignment vertical="center" wrapText="1"/>
    </xf>
    <xf numFmtId="0" fontId="3" fillId="3" borderId="0" xfId="0" applyFont="1" applyFill="1" applyAlignment="1">
      <alignment vertical="center" wrapText="1"/>
    </xf>
    <xf numFmtId="0" fontId="2" fillId="2" borderId="1" xfId="0" applyFont="1" applyFill="1" applyBorder="1" applyAlignment="1">
      <alignment vertical="center" wrapText="1"/>
    </xf>
    <xf numFmtId="49" fontId="0" fillId="0" borderId="0" xfId="0" applyNumberFormat="1" applyAlignment="1">
      <alignment vertical="center" wrapText="1"/>
    </xf>
    <xf numFmtId="0" fontId="0" fillId="0" borderId="0" xfId="0" applyAlignment="1">
      <alignment horizontal="center" vertical="center"/>
    </xf>
    <xf numFmtId="0" fontId="0" fillId="0" borderId="0" xfId="0" applyAlignment="1">
      <alignment vertical="center"/>
    </xf>
    <xf numFmtId="14" fontId="0" fillId="0" borderId="0" xfId="0" applyNumberFormat="1" applyAlignment="1">
      <alignment vertical="center"/>
    </xf>
    <xf numFmtId="15" fontId="0" fillId="0" borderId="0" xfId="0" applyNumberFormat="1" applyAlignment="1">
      <alignment vertical="center" wrapText="1"/>
    </xf>
    <xf numFmtId="49" fontId="0" fillId="3" borderId="0" xfId="0" applyNumberFormat="1" applyFill="1"/>
    <xf numFmtId="14" fontId="3" fillId="3" borderId="0" xfId="0" applyNumberFormat="1" applyFont="1" applyFill="1" applyAlignment="1">
      <alignment vertical="center" wrapText="1"/>
    </xf>
    <xf numFmtId="0" fontId="0" fillId="0" borderId="0" xfId="0" applyAlignment="1">
      <alignment vertical="top" wrapText="1"/>
    </xf>
    <xf numFmtId="22" fontId="0" fillId="0" borderId="0" xfId="0" applyNumberFormat="1" applyAlignment="1">
      <alignment horizontal="center"/>
    </xf>
    <xf numFmtId="14" fontId="0" fillId="0" borderId="0" xfId="0" applyNumberFormat="1" applyAlignment="1">
      <alignment horizontal="left" vertical="top" wrapText="1"/>
    </xf>
  </cellXfs>
  <cellStyles count="2">
    <cellStyle name="Hyperlink" xfId="1" builtinId="8"/>
    <cellStyle name="Normal" xfId="0" builtinId="0"/>
  </cellStyles>
  <dxfs count="47">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164" formatCode="dd/mm/yy"/>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164" formatCode="dd/mm/yy"/>
      <alignment vertical="center" textRotation="0" wrapText="1" indent="0" justifyLastLine="0" shrinkToFit="0" readingOrder="0"/>
    </dxf>
    <dxf>
      <numFmt numFmtId="164" formatCode="dd/mm/yy"/>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alignment horizontal="center"/>
    </dxf>
    <dxf>
      <numFmt numFmtId="30" formatCode="@"/>
    </dxf>
    <dxf>
      <numFmt numFmtId="30" formatCode="@"/>
      <alignment horizontal="center"/>
    </dxf>
    <dxf>
      <alignment horizontal="center"/>
    </dxf>
    <dxf>
      <alignment horizontal="center"/>
    </dxf>
    <dxf>
      <numFmt numFmtId="0" formatCode="General"/>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iPrem" refreshedDate="45971.895611574073" createdVersion="8" refreshedVersion="8" minRefreshableVersion="3" recordCount="128" xr:uid="{99CBF270-FE5D-4C60-83FC-B7A3550A5B12}">
  <cacheSource type="worksheet">
    <worksheetSource name="Table2"/>
  </cacheSource>
  <cacheFields count="25">
    <cacheField name="Id" numFmtId="0">
      <sharedItems containsMixedTypes="1" containsNumber="1" containsInteger="1" minValue="1" maxValue="120"/>
    </cacheField>
    <cacheField name="Start time" numFmtId="14">
      <sharedItems containsDate="1" containsMixedTypes="1" minDate="2025-06-02T12:32:48" maxDate="2025-11-09T22:42:40"/>
    </cacheField>
    <cacheField name="Completion time" numFmtId="14">
      <sharedItems containsDate="1" containsMixedTypes="1" minDate="2025-06-02T12:35:10" maxDate="2025-11-09T22:44:49"/>
    </cacheField>
    <cacheField name="Email" numFmtId="0">
      <sharedItems/>
    </cacheField>
    <cacheField name="Name" numFmtId="0">
      <sharedItems containsMixedTypes="1" containsNumber="1" containsInteger="1" minValue="0" maxValue="0"/>
    </cacheField>
    <cacheField name="สาขาที่เข้ารับบริการ" numFmtId="0">
      <sharedItems count="6">
        <s v="สาขาเชียงใหม่"/>
        <s v="สาขาเพชรเกษม"/>
        <s v="สาขาทองหล่อ"/>
        <s v="สาขาภูเก็ต"/>
        <s v="สาขาหลังสวน"/>
        <e v="#VALUE!"/>
      </sharedItems>
    </cacheField>
    <cacheField name="วันที่เกิดเหตุ" numFmtId="14">
      <sharedItems containsDate="1" containsMixedTypes="1" minDate="2025-05-19T00:00:00" maxDate="2025-11-10T00:00:00"/>
    </cacheField>
    <cacheField name="ชื่อสัตว์เลี้ยง หรือ HN สัตว์เลี้ยง" numFmtId="0">
      <sharedItems/>
    </cacheField>
    <cacheField name="ชื่อผู้ร้องเรียน" numFmtId="0">
      <sharedItems/>
    </cacheField>
    <cacheField name="เบอร์โทรศัพท์ผู้ร้องเรียน" numFmtId="0">
      <sharedItems/>
    </cacheField>
    <cacheField name="หน่วยงานที่ถูกร้องเรียน" numFmtId="0">
      <sharedItems containsMixedTypes="1" containsNumber="1" containsInteger="1" minValue="0" maxValue="0"/>
    </cacheField>
    <cacheField name="กระบวนการที่ถูก Complain" numFmtId="0">
      <sharedItems containsBlank="1" containsMixedTypes="1" containsNumber="1" containsInteger="1" minValue="0" maxValue="0" count="18">
        <s v="การดูแล/รักษาผู้ป่วย - OR"/>
        <s v="การสื่อสารด้าน Cliinical"/>
        <s v="การสื่อสารด้าน Non-Clinical"/>
        <s v="การดูแล/รักษาผู้ป่วย - OPD"/>
        <s v="การจ่ายยา"/>
        <s v="การประสานงานภายใน"/>
        <m/>
        <s v="การประเมินราคา"/>
        <s v="การตรวจวิเคราะห์ทางห้องปฏิบัติการภายนอกโรงพยาบาล"/>
        <s v="ค่าใช้จ่าย"/>
        <s v="การคีย์ Order"/>
        <s v="การดูแล/รักษาผู้ป่วย - IPD"/>
        <s v="การชำระค่ารักษาพยาบาล"/>
        <s v="การจัดทำนัดหมายติดตามอาการ"/>
        <n v="0"/>
        <s v="การสื่อสารด้าน Clinical"/>
        <e v="#VALUE!"/>
        <s v="การคีย์คชจ." u="1"/>
      </sharedItems>
    </cacheField>
    <cacheField name="รายละเอียดข้อร้องเรียน" numFmtId="0">
      <sharedItems count="119" longText="1">
        <s v="ฝาก Hotel แล้วมีแผลที่จมูก (เคยมีแผลที่จมูกตอนมาฝากแล้ว 1 ครั้งก่อนหน้า) เจ้าของเห็นตอนรับกลับบ้านแล้ว โดยไม่มีการแจ้งจากทาง รพ ก่อน ว่าสุนัขมีแผลที่จมูก (มีรูปยืนยันวันมาส่งเข้า Hotel จมูกยังไม่มีแผล)"/>
        <s v="เจ้าของccเรื่องtestkit felv fiv หมอท่านแรกแจ้งว่าความแม่นยำ 99% หมออีกคนมารับต่อคุยว่าจริงๆมันไม่99%(fact) ขึ้นอยู่กับclinical sign ด้วย หมอเลยเสนอให้ตรวจ pcr แล้ว pcr เป็นneg เจ้่าของเลยโวยจะขอเงินคืน pcr แต่จริงๆมันเป็นปัญหาที่ testkit เค้าโวยว่าเราใช้ของไม่มีคุณภาพ"/>
        <s v="1.Communication เจ้าของแจ้งว่าได้รับเรื่องว่าทีนัดแค่ 1 นัด แต่วันที่มามี 2 นัด และรอนาน เนื่องจากไม่มีใครแจ้ง 2. Financial ไม่ได้ลงรายละเอียด 3. Process"/>
        <s v="พยาบาลแจ้งนัดทาง SMS ไม่ระบุเวลานัด"/>
        <s v="พยาบาลเขียนในโน้ตว่าแจ้งไลน์รอตอบ แต่ลูกค้าไม่มีไลน์"/>
        <s v="ลูกค้ามานั่งรอหมอ 45 นาที พยาบาลไม่มีการแจ้งคิว ลูกค้าจึงได้ไปถามคิว แต่กลับโดนพยาบาลถามกลับว่า ไม่ได้แจ้งที่ชั้นล่างหรอคะ ทำให้รู้สึกแย่ และกลับบ้านเลย"/>
        <s v="ลูกค้าไปแจ้งเรื่องComplain กับเจ้าหน้าที่ที่สาขาPH ว่าทางสาขาTL บริการไม่ดีเลย ไม่อยากไปใช้บริการสาขาTLแล้ว เนื่องจากมีปัญหาหลายอย่าง 1.พยาบาลส่งกลับบ้านที่ชั้นWardเลย และไม่ได้แจ้งรายละเอียด ใบนัดก็ไม่มี 2.ทางAdmin กับFront ไม่ประสานงานกัน เพราะสอบถามเรื่องที่แจ้งมาทางLine ก็ไม่รู้เรื่อง 3.รอยานานมากกก"/>
        <s v="วันนี้พาน้องไรวินท์มาหาหมอ และหมอเจาะเลือดไม่ได้ 2 ครั้ง และจะขอลองเจาะเป็นครั้งที่3 เจ้าของเลยไม่ok เพราะน้องไม่ใช้หมาทดลอง ครั้งที่แล้วก็เป็นแบบนี้ ของน้องบี้เหมือนกัน เลยรู้สึกไม่ไว้วางใจ และกลับบ้านไป"/>
        <s v="CC หมอMET 1.เจ้าของค่อนข้างกังวลเรื่องอาการสุนัข แต่สิ่งที่เขาเจอในห้องตรวจไม่โอเค ประมาณว่าเขาพยายามอธิบายอาการแต่หมอพูดและตอบกลับในเชิงว่าสุนัขอาการดูปกติ ไม่ได้มีให้คำแนะนำอะไรต่อ ตอบกลับในเชิงว่าเจ้าของกังวลมากเกินไป ฟีลแบบไม่เข้าใจในความห่วงของเขาต่อสุนัข 2. มีอุ้มสุนัขหัวโขกโต๊ะตรวจ (เจ้าของไม่ได้เล่าว่ามีการขอโทษหรือไม่)"/>
        <s v="หมอ และพยาบาลเลื่อนเวลานัดลูกค้าไปเอง โดยที่ไม่ได้โทรแจ้งลูกค้าก่อน เมื่อน้องพยาบาลโทรไปConfirm นัดของวันที่12/6/68 ทำให้ลูกค้าไม่พอใจ"/>
        <s v="คืนยาเนื่องจากสัตว์เลี้ยงแพ้ยากลุ่มที่จ่าย แพ้ Cephalexin susp เปลื่ยนเป็น Clindamycin cap"/>
        <s v="แมวอาการไม่ดีต้องไปแอดมิด ประสานงานอะไรเรียบร้อย นัดpet taxi 17.30 เพื่อออกจากทองหล่อ แต่เวลาที่มารับเพชรเกษมเกือบ 2 ทุ่ม ทั้งที่ไม่ควรใช้เวลามารับเกิน 1 ชม พี่ตี๋ pettaxi แจ้งเวลาออกแล้วแต่ออกจริงเกือบ1ทุ่มซึ่งต้องรอคนนุ้นคนนี้เพื่อมากับรถ แจ้งไปแล้วว่าไม่ต้องใช้หมอก็ได้เพราะอาการคงที่่ อยากได้แค่พยาบาลมา(ซึ่งก้ตามprocess ว่าต้องมีพยาบาลมาด้วยเพราะน้องต้องใช้ oxygen) แล้วประเด็นคือลูกค้าโทรมาจากต่างประเทศโทรมาโวยสาขาเพชรเกษมว่าช้าขนาดนี้เดี๋ยวจะเรียก pettaxi เอง ทักไลน์ทองหล่อไปไม่มีใครตอบ สาขาเพชรเกษมโดนด่ายับ"/>
        <s v="I am writing to formally express my deep disappointment and concern regarding the handling of my Pomeranian’s recent blood draw at your clinic.  Despite my dog never having had an issue with blood draws in the past, this visit resulted in excessive trauma. The staff attempted to draw blood from his front leg and both hind legs, and I was shocked to return to the room and find significant bleeding and visible distress. The procedure, which should have taken only a few minutes, lasted over 15 minutes with three adults restraining a small dog.  I raised concerns before leaving the clinic and specifically requested that a veterinarian reassess his legs. Despite this, no vet came to speak with me or evaluate his condition. Instead, I was told to return “if there’s an issue.” The photos I took afterward show substantial bruising and swelling—far beyond what is acceptable for a standard blood draw.  This level of injury suggests either serious mishandling or a lack of technical competence. It is entirely unprofessional and unacceptable that:  • No licensed veterinarian assessed him before I left, despite my explicit request.  • The vet responsible was not made available to speak with me.  • I was expected to travel back another hour each way just to have my concerns taken seriously.  This should never have happened. I am requesting that:  1. The veterinarian who performed the blood draw is not allowed to handle my dog again under any circumstance.  2. This individual receives appropriate supervision and retraining before being allowed to conduct any procedures independently.  3. A senior veterinarian reviews this incident in full and contacts me directly to discuss it.  4. A record of this complaint is kept on file, and steps are taken to prevent this from happening to any other animal.  I am also preparing a formal complaint with the relevant veterinary regulatory authority. My dog is not a test subject, and the lack of accountability and care displayed during this visit was unacceptable.  I expect a timely and professional response."/>
        <s v="วันนี้พาน้องมาตรวจเลือด พร้อมฝังไมโครชิพ แต่คุณหมอฝังไม่เข้า แจ้งว่าพอดีเป็นไมโครชิพใหม่ ตอนที่หมอฝังไมโครชิพ ก็แจ้งว่าเสร็จแล้ว แต่ไม่มีการตรวจสอบ เจ้าของเลยแจ้งหมอให้ตรวจสอบก่อน เลยทราบว่าฝังไม่เข้า หมอไม่มีempathy เลย ไม่ดูแผลน้องด้วย"/>
        <s v="หมอมีการฝังไมโครชิพ Anyvet แต่หมอไม่ทราบว่าต้องดึงปลอกสีฟ้าออกก่อนฝังและทำการฝัง ทำให้ไมโครชิพไม่ถูกฝังเข้าไปในตัวสัตว์เลยขอลูกค้าฝังอีกรอบแต่ลูกค้าเกิดความไม่พอใจเป็นอย่างมาก"/>
        <s v="หมอจ่ายยาผิดจาก Samlin S เป็น L"/>
        <s v="หมอประเมินราคาแล้วไม่แจ้งฟร้อนทำให้ลุกค้าสับสน พอลุกค้าถามก็ตอบไม่ได้และไม่ตอบไลน์"/>
        <s v="ไลน์มาทั้งไลน์IPDและไลน์ทองหล่อไม่มีเจ้าหน้าที่ตอบว่าอาการน้องเป็นอย่างไรและหมอผ่าตัดจะสะดวกคุยกี่โมง"/>
        <s v="เจ้าของเข้าใจว่าได้ทำ MRI 1 part ในราคา 23000 บาท แต่หมอมีการทำ MRI 2 Part โดยที่เจ้าของไม่ทราบทำให้ค่าใช้จ่ายเป็น 29000 บาท"/>
        <s v="เจ้าของแจ้งว่าเคยได้มีการโทรสอบถามว่าสามารถตรวจ ECho หัวใจด้วยโปร 2990 ได้ไหม เจ้าของได้รับคำตอบว่าทำได้ แต่ในบิลคุณหมอชัญภรไม่ได้คีย์ค่าใช้จ่ายแบบโปรโมชั่น  คีย์เป็นราคาเต็ม 3200 บาท ตรวจสอบในนัดที่ลงไว้ไม่ได้ระบุว่าใช้โปรและพยาบาลเป็นคนสร้างนัด ทำให้ต้องคืนเงินส่วนต่างในระบบ 210 บาท"/>
        <s v="Ignore customer"/>
        <s v="ประเมินค่าใช้จ่ายและเรียกเก็บเงินลูกค้ามากกว่าความเป็นจริง ทำให้ต้องมีการคืนเงินลูกค้า"/>
        <s v="สวัสดี วันนี้ฉันพาสุนัขไปหาสัตวแพทย์ เธอเป็นแค่สัตวแพทย์ทั่วไป ฉันนึกว่าฉันจะได้เจอคุณหมอเฉพาะทางด้านฟันของสุนัขเสียอีก?  เธอช่วยอะไรได้ไม่มาก นอกจากพยายามติดต่อคุณหมอเฉพาะทางให้ แล้วฉันยังต้องจ่าย 500 บาทแค่เพียงเท่านั้นเอง มันดูไม่สมเหตุสมผลเลย ?  จากนั้นฉันต้องจองนัดใหม่กับคุณหมอเฉพาะทางในวันอื่น นี่เป็นประสบการณ์ที่น่าผิดหวังมาก และไม่เป็นมืออาชีพเลย"/>
        <s v="เจ้าของแจ้งว่าที่นอนห้องfam1 มีกลิ่นฉี่เหม็นค่ะ"/>
        <s v="ป้อนยาเคมีบำบัดผิดขนาด จาก Lomustine 10mg เป็น lomustine 40mg เหตุเกิดจากห้องยาหยิบยาผิดขวด และหมอไม่ได้เช็คภาพคอนเฟิมยาก่อนป้อนยาให้สัตว์"/>
        <s v="เคสมาปรึกษาทำหมัน หมอEVE เลือกใช้ตรวจเลือดแพ็กเกจทำหมัน แต่หมอแจ้งลูกค้าในห้องตรวจว่าสามารถจ่ายแยกกันได้ แต่ไม่สามารถจ่ายแยกได้ เนื่องจากซื้อแพ็กเกจ เคยแจ้งทีมหมอแล้ว ฝ่ายบัญชีของเจ้าของไม่โอเคกับการสื่อสารเป็นอย่างมาก ทำให้หน้างานโดนด่า"/>
        <s v="ลูกค้าพาน้องมาหาหมอเพราะไปเหยียบอะไรมาไม่รู้แล้วยกขาตลอดเลย แต่ไม่มีเลือดไหลไม่เห็นแผล หมอยังไม่สะดวกรับ เพราะติดเคสที่Wardอยู่ ให้รอหมอOPD เช้า ทำให้ลูกค้าไม่พอใจ ไม่สะดวกรอ และเดินกลับออกไปเลย"/>
        <s v="หมอต้องการให้ส่งตรวจเพาะเชื้อแบคทีเรียซึ่งใช้ code “L-NB-Nabon BactCulture/Sense” ราคาตรวจ 1,000 บาท แต่ได้มีการกดคำสั่งใน Provet ผิดพลาดเป็น code “L-NB-Nabon Biopsy” ราคาตรวจ 1,600 บาท ตามคำสั่ง Laboratory request #23002 ถึงแม้จะได้ผลการตรวจถูกต้องอย่างที่ต้องการคือการเพาะเชื้อแบคทีเรีย แต่มีการคีย์ข้อมูลและเก็บเงินผิดพลาด จึงต้องการให้ลบคำสั่งที่ผิดไปดังกล่าว แล้วแก้ไขคำสั่งที่ถูกต้องใหม่ ลูกค้ามีความประสงค์ให้เก็บยอด 600 บาทไว้เป็นเครดิตในระบบเพื่อใช้ในนัดหมายครั้งถัดไป"/>
        <s v="ลูกค้าปฏิเสธการรักษาเนื่องจากค่ารักษา แมวได้รับการวินิจฉัยว่าเป็น FPV ซึ่งเป็นโรคไวรัสที่รุนแรง อัตราการเสียชีวิตสูง ค่ารักษาสูง ประเมินราคาแล้วลูกค้าไปต่อไม่ไหว"/>
        <s v="ลูกค้าต้องการคืนเงินมัดจำ เนื่องจากตอนแรกวางมัดจำไว้สำหรับตรวจเลือดและทำหมัน ภายหลังเปลี่ยนใจไม่ต้องการทำหมันแล้วแต่ให้ตรวจเลือดเฉยๆ ทำให้หลังหักลบกันมียอดคงเหลือในระบบ ลูกค้าต้องการให้โอนคืนทั้งหมด โดยแจ้งว่าไม่สะดวกด้านค่าใช้จ่ายแล้ว ทั้งที่ตอนเช้าคุยกับหมอตกลงเรื่องราคาเรียบร้อยแล้วก่อนลูกค้าจะไปวางเงินมัดจำ"/>
        <s v="ลูกค้าพาหมามาทำหมัน 2 ตัว ในวันกลับลูกค้าแจ้งว่าจะมารับเลทแอดมินจึงแจ้งว่าหากเกินเวลาแอดมิทจะมีค่าบริการเพิ่ม หลังจากนั้นลูกค้าทักมาเพื่อถามเรื่องราคา pet limo หลังจากแอดมินแจ้งราคาลุกค้าจึงโทรมาเพื่อถามว่าโรงพยาบาลคิดค่าทำหมันที่แพงมากแล้ว ไปรับเลทก็ต้องจ่ายเพิ่ม จะเอารถรับส่งก็ต้องจ่ายเพิ่มทั้งๆที่ระยะทางไม่ได้ไกลเลย (3.9 km) หลักๆคือการคอมเพลนเรื่องค่าใช้จ่ายที่แพงค่ะ"/>
        <s v="ไม่ได้แจ้งเจ้าของว่าจะมีค่าฝากเลี้ยงหลังจากพบหมอ"/>
        <s v="ช่างอาบน้ำไวมากใช้เวลาแค่30นาที แต่พันธุ์นี่ต้องใช้เวลา1.30ชม"/>
        <s v="คุณหมอมีการคีย์ค่าใช้จ่าย _x0009_ค่าบริการเช็ดหู M (Vet) ในบิล โดยที่หมอมีการคีย์ ค่าบริการเช็ดหู S (Vet) มาแล้ว ทำให้ลูกค้าเสียค่าใช้จ่ายในบิลเพิ่ม 130 บาท"/>
        <s v="พยาบาลป้อนยาผิดตัว"/>
        <s v="ไอติมมาเวลา 07.10 น. มีเลือดออกจากจมูก Front แจ้งว่าต้องรอหมอถึง 08.00 ลูกค้าไม่รอพาไปทองหล่อ"/>
        <s v="คุณหมอทำหัตถการเจาะกระเพาะปัสสาวะโดยไม่ได้รับความยินยอมจากเจ้าของ"/>
        <s v="ช่างไถสั้นไม่ตรงตามที่ จข แจ้ง จข ต้องการแค่สั้นลง งานที่ออกมาไม่เรียยร้อย ลักษณะเป็นขั้นๆไม่เรียบเนียน"/>
        <s v="ลูกค้าขอคืนสินค้า"/>
        <s v="ไม่ได้แจ้งเรื่องให้เอาที่พันห้ามเลือดออก ทำให้ขันโดนที่พันห้ามเลือดรัดจนถึงเช้าของวันที่ 15/8"/>
        <s v="ไม่แจ้งหมอว่าลูกค้ามาถึงแล้ว ทำให้รอตรวจนานประมาณ 1 ชั่วโมง ทั้งที่มาถึงก่อนเวลานัด"/>
        <s v="โทรศัพท์ไม่สามารถติดต่อได้"/>
        <s v="หมอเกรียงไกรคีย์ค่า _x0009_IV SET Protector / Dexamethasone 0.5 mg TABLET  เข้าไปในบิล แต่ไม่ได้มีการใช้ แต่ Finalize บิลแล้ว และมีการเก็บเงินลูกค้าไปแล้ว"/>
        <s v="เป่าขนไม่ดี มีขนเหลือเต็มตัว เก็บรายละเอียดตัดขนไม่ละเอียด ทำไม่เหมือนมาตรฐานเดิม"/>
        <s v="ลูกค้าชำระโดย card แต่ลงระบบ Provet ชำระด้วย QR code"/>
        <s v="กรูมมิ่งอาบน้ำเร็วและไม่สะอาดทำให้หูสกปรกจนเกิดโรค"/>
        <s v="สุนัขโดนกัดมาทำแผล กลับไปแล้วพบว่าหมอทำแผลไม่ครบ"/>
        <s v="ป้อนยาผิดตัว ทำให้เกิดค่าใช้จ่ายในการตรวจเลือด"/>
        <s v="การสื่อสารแผนการรักษาให้ชัดเจนกับเจ้าของ ทำให้เจ้าของไม่พอใจที่น้องต้องวางยาเพื่อทำ MRI อีกครั้ง"/>
        <s v="ลืมนำยาบนวอร์ดให้ลูกค้าก่อนกลับบ้านปล่อยให้ลูกค้าต้องนั่งรอนานๆ"/>
        <s v="ลูกค้า email Complain เข้ามาแจ้งว่าตั้งใจมาขูดหินปูน ก่อนเข้ารับบริการ สัตวแพทย์ได้แจ้งว่าอาจมีการถอนฟันเพิ่มเติม โดยคิดราคา “ซี่ละ 1,000–3,000 บาท” ซึ่งดิฉันได้ปฏิเสธมาตลอด ไม่ต้องการให้ถอนฟัน เพราะเกรงว่าสุนัขจะเจ็บตัวโดยไม่จำเป็น และสัตวแพทย์ก็ยืนยันว่าหากไม่มีปัญหามากก็ไม่ต้องถอน กระทั่งวันถัดมา เมื่อได้พบสัตวแพทย์อีกท่านก็ได้แจ้งเช่นเดียวกัน และดิฉันก็ยังคงยืนยันปฏิเสธเช่นเดิม อย่างไรก็ตาม ในระหว่างที่สุนัขอยู่ระหว่างการขูดหินปูน ทางโรงพยาบาลมีการโทรมาแจ้งว่าควรถอนฟันด้วยเหตุผลทางการแพทย์ ด้วยความรักสุนัขจึงอนุมัติให้ดำเนินการ แต่ในสายไม่เคยมีการแจ้งว่าจะมีค่าใช้จ่ายเพิ่มเติมในส่วนยาและอุปกรณ์อื่น ๆ ที่นอกเหนือจากราคาที่แจ้งไว้ก่อนหน้า ซึ่งถือว่าเป็นการเอาเปรียบผู้บริโภค เพราะเจ้าของไม่ได้รับข้อมูลที่ครบถ้วนก่อนการตัดสินใจ 2.ประสบการณ์ที่รู้สึกเหมือนถูกบังคับให้จ่ายโดยส่วนตัวเคยใช้บริการโรงพยาบาลสัตว์เอกชนหลายแห่ง เข้าใจดีว่ามีค่าใช้จ่ายสูง และสัตวแพทย์จำเป็นต้องมีเป้าหมายยอดรายได้ แต่ครั้งนี้กลับรู้สึกชัดเจนว่า การขายบริการและการคิดค่าใช้จ่าย ถูกให้ความสำคัญมากกว่าการตัดสินใจของเจ้าของสัตว์เลี้ยง แตกต่างจากโรงพยาบาลอื่น ๆ ที่ถึงแม้มีค่าใช้จ่ายสูง ดิฉันก็ยินดีจ่ายเพราะได้รับการสื่อสารที่โปร่งใสและเป็นธรรม"/>
        <s v="เจ้าของเอาน้องมาฝากที่รร. โดยใช้ Pro 5 คืนคิด 3 คืนโดยขอให้ตดกล้องด้วย ทาง Admin Confirm ว่าคิดค่ากล้อง 300 บาท ทางลูกค้าไม่ยอมจ่ายอีก 2 คืน เป็น มุลค่า 200 บาท  "/>
        <s v="ลูกค้าโทรมาสอบถามการให้ยา เนื่องจากพึ่งกลับบ้านไป Front โทรขึ้นไปวอร์ดเพื่อสอบถาม โทรติดพยาบาลรอบแรก พยาบาลแจ้งว่าขอไปดูแพลนก่อนแล้วตัดสาย Front แจ้งลูกค้าแล้วว่าขอติดต่อกลับ แต่เขาขอรอ จนค่อนข้างนาน front เลยโทรหาพยาบาลอีกรอบ พยาบาลรับแล้ว Front แจ้งว่าเจ้าของอยากคุยกับพยาบาลไม่ใช่หมอ พยาบาลแจ้ง ค่ะ แล้วตัดสายอีกรอบ ทำให้เจ้าขอถือรายรอเกือบ 15 นาที จนเจ้าของวางไปเอง เจ้าของติดต่อกลับมาใหม่และคอมเพลนในส่วนของการให้ถือสายรอนาน และไม่เข้าใจเหตุผลว่าทำไมพยาบาลไม่คุยกับเขาโดยตรง แจ้งข้อมูลไปๆกลับผ่าน Front  แล้วเขาไม่ได้คำตอบที่ต้องการ ทำให้แมวได้รับยาช้ากว่ากำหนดเวลาที่ควรให้"/>
        <s v="รอนาน"/>
        <s v="เจ้าของแจ้งว่า - รพ เคยจะคิดระบบ ที่ customer friendly กว่านี้มาแทนไหมครับ แอบลำบากเกินครับ ง่ายๆ เลขบัญชีหรือ QR บัญชี แล้วให้ ลูกค้าแจ้งสลิปโอนคือง่าย สุดสรุป การชำระนอก รพ นะครับ  เพื่อจะ พัฒนาให้ ลูกค้าสะดวกๆ มากขึ้น - เกิดจากการที่ลูกค้าพาน้องกลับบ้านไปโดยไม่ได้มาชำระเงินที่เค้าท์เตอร์ จึงส่งเก็บเงินทางไลน์ ลูกค้าขอคิวอาร์แต่หน้างานติดลูกค้าไม่สะดวกส่งให้ทันทีที่เขาขอ พอส่งตามไปให้ คิวอาร์หมดอายุ ซึ่งลูกค้าได้รับการส่งใหม่และคิวอาร์หมดอายุซ้ำ 2 รอบ โดยหน้างานติดลูกค้าไม่สามารถคอยมอนิเตอร์ตลอดเวลาได้จริงๆ ทำให้เกิดการคอมเพลน"/>
        <s v="การสื่อสารไม่ตรงกันระหว่างหมอคนแรกกับคนที่สอง"/>
        <s v="ลูกค้าไลน์มาในไลน์กลาง ให้อาบน้ำ แต่ในนัดมีทำอาบน้ำแล้ว แต่เจ้าของส่งกลับมาอีกครั้งว่าจะให้ทำแบบ ฟูเซอร์วิส และแอดมินมีการตอบรับแต่ไม่มีการแก้ไข้นัดจึงทำให้มีการทำกรุมมิ่งแค่ อาบน้ำทำให้ลูกค้าไม่พอใจและจะไม่จ่ายเงิน ทำให้เกิดปัญหาในการเก็บเงิน"/>
        <s v="ลูกค้ามาใช้บริการช่วงเวลา 20.23น. แล้วแจ้งกับทาง พนักงานต้อนรับว่า ป้ายทางเข้าของโรงพยาบาล มืดมาก มองไม่เห็นทางเข้า ลูกค้าขับพ้นทางเข้า 2 รอบ ทำให้เสียเวลากลับรถไปมา อาจจะเพราะป้ายทางเข้าของซอยที่อยู่ก่อนถึงเรา สว่างกว่ามากๆ ทำให้ป้ายของเราไม่เป็นจุดสังเกตุเลย อยากให้แก้ไขเรื่องป้ายหน่อย "/>
        <s v="ลูกค้าเเจ้งว่าให้ทำอาบน้ำตัดขนแบบครบเซ็ต แต่ทางเจ้าหน้าที่ไม่ได้แก้ไขหัวข้อจึ้งทำให้เกิดการอ่บน้ำอย่างเดียว และทำให้ลูกค้าไม่พอใจ จะขอไม่ให้คิดเงินลูกค้าในบิลนั่น"/>
        <s v="น้องมาผ่าตัดมะเร็งวันที่ 27/ค แล้วเสียชีวิต เจ้าของรู้สึกว่าเราดูแลหลังผ่าตัดไม่ดี ทำให้น้องถึงแกชีวิต"/>
        <s v="ทำสุนัขหลุดจากสายรัดอก วิ่งออกถนนใหญ่"/>
        <s v="รอตรวจนานประมาณ 1 ชั่วโมง โดยไม่ทราบเหตุผล"/>
        <s v="การจ่ายยาผิด"/>
        <s v="จ่ายยาผิดขนาดจาก pimo 5 mg เป็น 1.25 mg"/>
        <s v="ในวันที่ 4/9/2025 ลูกค้าเข้ามารับบริการกับหมอชัญภรและได้มีการจ่ายยา หลังจากลูกค้าได้รับยาไปแล้วทางหมอมาตรวจสอบภายหลังพบว่ายา pravix แบ่งผิดส่วน จาก 1/4 เป็น 1/2 เลยให้ทางห้องยาโทรแจ้งลูกค้าขอยาคืนเพื่อนำมาแบ่งให้ถูก แต่ไม่ได้แจ้งลุกค้าโดยตรงว่าแบ่งยาผิดตั้งแต่แรก ทำให้ลูกค้าเกิดความไม่พอใจและเกิดการ cc เกิดขึ้นหลังจากนั้นได้มีการคืนเงินทั้งหมดใน inv21250017622 และไม่ต้องคืนยา จากนั้นนัดลูกค้าเข้ามาคุยกับหมอชัญภรในวันอาทิตย์ที่ 7/9/2025 มีการจ่ายยาชุดใหม่ไป โดยไม่ต้องชำระเงิน"/>
        <s v="มีการโอนเงินซ้ำ ลูกค้าชำระเงินผ่าน Payment gatway ซ้ำ "/>
        <s v="หมอคีย์แพคเกจกายภาพผิด แต่บิลถูก finalize  ไปแล้วและมีการดึงเงินมัดจำในระบบของลูกค้าไปตัดบิลแล้ว"/>
        <s v="หมอปนัดดาคีย์ยาผิด ต้องคีย์ VET PETZ ANTINOL DOG (Cap) แต่คีย์เป็นของแมวแทน บิลถูก finalize และเก็บเงินลูกค้าไปแล้ว"/>
        <s v="  คีย์ค่าห้องพักicuสุนัขยอด 880 บาทเกิน ซึ่งในความเป็นจริงไม่ต้องเก็บค่าห้อง1คืนนี้ เนื่องจากลูกค้าใช้แพ็จเกจMRI โปร23,000    และได้มีการเรียกเก็บเงินกับลูกค้าแล้วทางลูกค้าชำระเงินเรียบร้อย จึงทำmemo เพื่อคืนเงินลูกค้าเข้าสู่ระบบ   ลูกค้าไม่พอใจกับเหคุการณ์ดังกล่าวและได้มีการคอมเพลนนายธัญชนกร :( "/>
        <s v="ลูกค้ามาตรวจเลือดเพื่อทำ CT scan ในวันที่ 15 แต่ตรวจเลือดวันที่ 14 ในวันที่ 14 หมอคีย์คำสั่งตรวจเลือดซ้ำไปสองรอบ เจ้าหน้าที่แล็บมาเห็นว่ายังมีคำสั่งค้างตรวจอยู่และมีเลือดที่เจาะมาให้ เลยตรวจซ้ำ ทั้งที่เก็บตรวจไปเสร็จแล้วตั้งแต่เมื่อวาน ทำให้คิดเงินเกิน ต้องทำเรื่องคืนเงินลูกค้า"/>
        <s v="หมอคีย์คำสั่งตรวจ CBC ซ้ำ"/>
        <s v="ไม่เปิดเช็คอิน ทำให้เคสรอหมอค่อนข้างนาน ขาดการประสานงานต่อ"/>
        <s v="เจ้าของพิมพ์แจ้งมาว่า - Its been a week now and I am highly dissatisfied that I need to ask so many times for the fecal test results! I feel I am being disrespected Tuesday you said it Tuesday, yesterday that its today, today that its tomorrow - เนื่องจากเจ้าของส่งตรวจแลปและแจ้งขอผลมา ทาง Front เช็คแล้วว่าผลออกแล้วจึงแจ้งขอผลจากคุณหมอไปก่อนในวันที่ยังไม่เข้าเวร แต่ไม่ได้รับการตอบกลับ จึงแจ้งลูกค้าไปใหม่ว่าหมอจะเข้ามาออกตรวจวันศุกร์ แต่วันศุกร์หมอยังไม่มีการติดต่อกลับลูกค้าไป ทำให้ลูกค้าไม่พอใจ"/>
        <s v="จ่ายยาผิด mg จาก enro 15 mg เป็น 50 mg"/>
        <s v="ข้างล่างไม่แจ้งหมอมิ้มว่าสีนิฬมาแล้ว พี่นั่งรอนานแล้วน้องพยาบาลเนยเดินมาทักและแจ้งหมอมิ้มให้"/>
        <s v="ลูกค้าโทรไปทำนัดU/Sตอนเที่ยงคืนFrontแจ้งว่ามาได้พรุ่งนี้ตอน10โมง พอลูกค้ากำลังเดินทางใกล้ถึงรพมีคนโทรไปแจ้งว่าคิว U/Sเต็มได้คิวอีกทีเป็นวันศุกร์ลูกค่าแจ้งว่าเสียเวลามาก"/>
        <s v="จับแมวใส่คอลล่าระหว่างจะทำการตรวจ u/s แมวค่อนข้างดื้อและดุ เลยทำให้เล็บไปเกี่ยวกับคอลล่า และเล็บหลุด"/>
        <s v="หมอแพลนหลังผ่าตัดถอนฟันให้ใส่คอลล่าพยาบาลIPDเผลอถอดคอลล่าออกทำให้น้องเกาข้างปากจนเป็นแผล"/>
        <s v="มีแมวมารักษา2ตัว Frontแจ้งว่า มีนัดน้องชาดำ เชิญขึ้นชั้นMได้เลย แต่แม่พามา2ตัวและมีนัดทั้ง2ตัว กับแมวใส่กล่องมา ไม่มีใครช่วยถือเลย เป็นแบบนี้หลายครั้งมากๆแล้วค่ะ"/>
        <s v="คืนเงินมัดจำที่เหลือ ยอด290฿"/>
        <s v="ถูกคิดค่า Pet car "/>
        <s v="ลูกค้าชำระเงินด้วยยอด 45,846.81 แยกเป็นมัดจำก้อน TL 43,054.01 แยกเป็นมัดจำก้อน LS  2,792.80  แต่ตอนกดทำเป็น Prepaymen ของก้อน TL กดผิดเป็น 43,054.10 ทำให้ยอดหายไป0.09สตางค์"/>
        <s v="Charge ค่าเลือดซ้ำ"/>
        <s v="น้องกินขนนกเข้าไปขณะปล่อยให้เดินเล่นที่โรงแรม"/>
        <s v="ผมเพิ่งได้อ่านรีวิวของโรงพยาบาล ซึ่งบางท่านอาจจะเจอประสบการณ์ที่ดี บางท่านอาจจะเจอประสบการณ์ที่เลวร้าย ผมจึงอยากแชร์ประสบการณ์ส่วนตัวและข้อสงสัยบางอย่างเพื่อให้ทางโรงพยาบาลพัฒนาปรับปรุงทั้งด้านระบบงาน บุคลากร -โรงพยาบาลโปรโมทว่า icu มีหมอ พยาบาล ตลอด 24 ชม. ซึ่งควรมีการ “เฝ้าระวังและเฝ้าสังเกตุอาการ ความผิดปกติตลอดเวลา” แต่ที่เจอกับตัว คือ โทรแจ้งตอนน้องไม่ไหวแล้ว และน้องกลับดาวหมาภายใน 10 นาทีหลังจากหมอโทรแจ้ง ทำให้ไปอยู่ในช่วงชีวิตสุดท้ายของน้องไม่ทัน กรณีนี้ก็ไม่ทราบว่า เพิ่งสังเกตุเห็น หรือ ไม่ได้สังเกตุ หรือ สังเกตุแล้วไม่รู้อาการ เพราะผมเข้าใจว่าถ้าได้สังเกตุและรับรู้ถึงความผิดปกติ ควรแจ้งได้เร็วกว่า 10 นาที ก่อนน้องไป -ไม่เข้าใจเรื่องการต่อเวรของหมอเวร ผมไปเยี่ยมน้อง ถามอาการน้อง หมอต้องไปหยิบชาร์ตบนโต๊ะมาไล่เปิดอ่าน ซึ่งในความคิดของผม หมอที่อยู่เวรควรทราบถึงอาการหรือพฤติกรรมที่ควรเฝ้าระวังของน้องแต่ละตัวต่อจากหมอเวรคนก่อน ไม่ใช่มาดูข้อมูลตอนเจ้าของถาม -น้องได้อัลตร้าซาวน์ เอ็กซเรย์ ตรวจเลือด ทำให้รู้ว่าเป็นโรคไตเรื้อรัง และมีปัญหาตับอ่อนและถุงน้ำดี ซึ่งหมอแนะนำให้กินอาหารโรคไต โดยหลังจากนั้นน้องได้มีอาการเกี่ยวกับตับอ่อน ซึ่งหมอ ER แจ้งว่าเกิดจากการกินอาหารโรคไต(ซึ่งมีไขมันสูง) จึงสงสัยว่า ทำไมหมอเจ้าของไข้ถึงไม่คำนึงถึงผลกระทบของอาหารโรคไตที่มีต่อตับอ่อน หรือ หมอ ER เข้าใจผิด -น้องให้อ๊อกซิเจนในตู้ ซึ่งประตูตู้เจาะรูแต่ก็ไม่ได้เอาอะไรมาคลุมประตู ซึ่งทำให้อ๊อกซิเจนรั่วออก พอสอบถามได้ความว่า จะใส่เป็น หน้ากากอ๊อกซิเจนให้น้อง แต่ก็เห็นว่าหน้ากากตั้งอยู่ในตู้เฉยๆ ไม่ได้สวมน้อง (ซึ่งผมท้วงไป 2 ครั้ง ก็ไม่แน่ใจว่าสุดท้ายแล้วได้สวมหน้ากากให้น้องหรือคลุมประตูแล้วหรือไม่) -เป็นโรงพยาบาลสัตว์ที่ใหญ่โต และมีชื่อเสียง แต่การประสานงานต่างๆ เข้าขั้นแย่ หลายครั้งที่โทรไปไม่รับ ไลน์ไปกว่าจะอ่านเป็นชั่วโมง (รีวิวจากท่านอื่นๆ ในอดีต ก็มีในเรื่องนี้ และปัจจุบันก็ยังคงมีปัญหานี้อยู่) ซึ่งในบางครั้งระยะเวลาที่ใช้ในการติดต่อคือเรื่องสำคัญสำหรับชีวิตสัตว์เลี้ยง ขึ้นชื่อว่าโรงพยาบาลควรติดต่อได้รวดเร็ว และมีคนประสานงาน สแตนบายตลอดเวลา -ในรอบนี้ที่น้องพักอยู่ icu ไม่มีการแจ้งอาการใดๆของน้องเลยนอกจาก การป้อนอาหาร การขับถ่าย การให้ยา ซึ่งความเห็นผมควรจะมีการแจ้งรายละเอียดสภาพอาการของน้องด้วย เช่น ตัวสั่นหรือไม่ ความดันเท่าไร มีอาการคงที่ ดีขึ้น หรือแย่ลงยังไง (คิดค่าพยาบาล-หมอward วันนึงเกือบ 1,000 บาท ตรวจอะไรไม่เคยแจ้งมา) -ในความรู้สึกส่วนตัว พยาบาลบางท่าน/หมอบางท่าน ไม่ได้ดูใส่ใจหรือดูเป็นห่วงน้องหมาเลย ประตูหนีบสายน้ำเกลืออยู่ก็ไม่สนใจ ถึงน้ำเกลือยังไหลปกติ แต่เวลาน้องหมาขยับจะโดนสายน้ำเกลือที่ประตูหนีบอยู่รั้งไว้ และเวลาไปเยี่ยมเห็นน้องหมาน้ำตาไหล มีคราบน้ำตา ขี้ตา ก็น่าจะดูแลเช็ดทำความสะอาดให้น้องหน่อย (ในบิลก็คิดค่าดูแลเป็นรายวันอยู่แล้ว) น้องใส่คอลล่าร์ทำให้กินน้ำไม่ได้ก็ปล่อยอยู่อย่างนั้น จนกระทั่งเจ้าของไปเยี่ยมถอดคอลล่าร์ออก น้องกินน้ำเยอะมาก ไม่รู้อดมานานแค่ไหน ป้อนอาหารเสร็จไม่ได้เช็ดตามตัวให้น้องเพราะมีคราบอาหารแห้งเกรอะติดตามขนน้อง ทั้งหมดที่กล่าวมา เป็นความสงสัยส่วนตัวที่เก็บไว้ ไม่กล้าถามหรือพูดตอนที่น้องเข้ารับการรักษา เนื่องจากเกรงว่าถ้าเจ้าหน้าที่ผู้ดูแลไม่พอใจ อาจจะดูแลน้องหมาไม่ดีกว่าเดิม ทั้งนี้สามารถชี้แจง-อธิบาย ได้ในที่นี้เลยครับ เผื่อมีท่านอื่นมาอ่านรีวิว จะได้เข้าใจได้ถูกต้อง และไม่จำเป็นต้องขออภัย ไม่จำเป็นต้องแจ้งว่าจะปรับปรุง แต่ขอให้ &quot;ชี้แจงและลงมือแก้ไขอย่างจริงจัง&quot; เพื่อให้ผู้เข้าใช้บริการได้รับการบริการและประสบการณ์ที่ดี สุดท้ายอยากจะฝากข้อความถึง ผู้บริหาร-บุคลากรของโรงพยาบาล ผมเข้าใจว่าทำธุรกิจต้องหากำไร แต่อยากให้มีการบริการที่ดี คุ้มค่ากับเงินที่ผู้ใช้บริการต้องเสียไป ขอให้คุณหมอและพยาบาลทุกท่านคงจรรยาบรรณ จริยธรรม นำความรู้ที่ศึกษามา มุ่งรักษา &quot;ชีวิต&quot; ของสัตว์ทุกๆตัว เอาใจเขามาใส่ใจเรา ในสายตาท่านสัตว์ตัวนั้นอาจเป็นแค่แมวหมาตัวนึง แต่ในใจของเจ้าของ น้องทุกตัวคือครอบครัว"/>
        <s v="ผิดหวังกับการใช้บริการที่โรงพยาบาลสัตว์แห่งนี้ ไม่มีความรับผิดชอบ ไม่สื่อสารกับเจ้าของสัตว์เลี้ยง และ ไม่เห็นความสำคัญของชีวิตสัตว์เลี้ยง  วันอาทิตย์ที่ 28 กันยา ได้พาน้องแมวมารักษาเนื่องจากกลืนเศษพลาสติกเข้าไป คุณหมอได้ให้ยาอาเจียนผ่านทางเส้นเลือด ซึ่งได้ผลดีและเสร็จสิ้นประมาณเวลา 13:00 น. เนื่องจากน้องมีความเครียดและกลัวมาก จึงปัสสาวะรดตัวเองในกระเป๋าแมว เราจึงถามพยาบาล เรื่องการอาบน้ำ และได้รับแจ้งว่ามีคิวอาบน้ำเวลา 15:00 น. เลยตัดสินใจให้น้องพักที่โรงแรมของโรงพยาบาลเพื่อรออาบน้ำ น้องยังมีผ้าพันแผลกันเลือดอยู่ที่ขา เราตั้งใจจะถอดเอง แต่พยาบาลโรงแรมแจ้งว่าจะเป็นคนจัดการให้เอง  เมื่อถึงเวลารับแมวตามที่นัดไว้ตอน 16:30 น. ที่ห้อง grooming กลับได้รับแจ้งว่าน้องยังไม่ได้อาบน้ำ และอ้างว่าเป็น “คิวแทรก” โดยที่ไม่เคยมีการแจ้งล่วงหน้าหรืออัปเดตสถานะใด ๆ ทั้งสิ้น ไม่มีไลน์ ไม่ติดต่อมาเลยว่าจะล่าช้า ขณะนั้นน้องแมวอยู่ในสภาพตัวเปียกจากฉี่ มีผ้าพันแผล เพราะพยาบาลที่รับปากว่าจะถอดให้ ไม่ได้ถอดผ้าพันแผลให้น้องเลยตั้งแต่เวลา 13:00 น. ถึง 16:30 น.ที่เราขึ้นไปดูน้องเอง เราต้องถอดผ้าพันแผลให้น้องเอง ที่แย่กว่านั้นคือ น้องไม่ได้กินข้าวเลยตั้งแต่เวลา 13:00 น. เพราะเรากะว่าจะรับน้องตอน 16:30 น. แล้วพากลับบ้านไปกิน แต่พอเจอปัญหาเรื่องความล่าช้า และไม่มีใครแจ้งให้ทราบล่วงหน้า เราจึงไม่ได้เตรียมอาหารมาด้วย และในห้องรอก็ไม่มีทรายแมวให้น้องขับถ่ายเลย น้องจึงไม่ได้ขับถ่ายตั้งแต่บ่ายโมง  น้องแมวดูเครียดและไม่สบายตัวมาก เราขอให้น้องได้อาบน้ำโดยเร็วที่สุด แต่ก็ไม่ได้รับการดูแลหรือการสื่อสารใด ๆ จากทางพนักงานเราต้องนั่งรอ และเป็นฝ่ายติดตามเอง จนน้องได้อาบน้ำจริงในเวลา 17:30 น.  เมื่อวานรู้สึกสงสารน้องมากๆ ไม่อยากกลับไปโรงพยาบาลนี่อีก รู้สึกได้เลยว่าเค้าไม่ได้แคร์หรือสนใจน้องแมวของเราจริงๆ โฆษณาตัวเองว่าเป็นโรงพยาบาลพรีเพี่ยมแต่ละเลยกับสัตว์เลี้ยง ไม่อยากใครให้ได้มาเจอประสบการณ์แย่ๆแบบนี้  อัพเดท: อีเมลลไปหาผู้จัดการตามอีเมลลที่ได้รับมา ส่งไปวันอาทิตย์เพื่อขอคำขอโทษจากโรงพยาบาลภายในวันพุธที่ 1 ตุลา วันนี้วันที่ 1 ตุลาไม่ได้รับอีเมลล จึงเขียนอีเมลลไปอีก แต่โดนbloc จากโรงพยาบาล"/>
        <s v="แย่ทุกแผนก ไม่แนะนำครับ 1.ลูกหมาอาการไม่ดีแต่หมอไม่ปฐมพยาบาลหรือหาทางช่วยเหลือเบื้องต้น มั่วแต่จะขอให้ตรวจทุกอย่างเพื่อจะได้ให้ยอดบิลสูง มีโปรโมชั่นไม่แจ้ง พอถามบอกเดียวค่อยว่ากัน อย่างนู้นอย่างนี้สรุป แอดมินบอกใช่โปรโมชั่นไม่ได้เพราะการตรวจไม่มีในโปร งง เหมือนคนโง่ อาจจะโง่จริงเลยโดนไปแบบนี่ 2.หมอดุเหมือนไม่ได้อยากจะจับน้องหมาเรา สังเกตได้ เป็นหมอสัตว์โดยเฉพาะโรงพยาบาลของน้องหมากับแมวถ้าไม่ชอบน้องหมาหรือ น้องแมวอย่างใดอย่างนึง ควรพิจารณานะครับว่าควรทำต่อไปไหม 3.ให้ออกซิเจนน้อง คิด1 ชั่วโมงแต่ให้จริง ไม่ถึง ครึ่งชั่วโมง แต่คิดราคา 1 ชั่วโมง สอบถามแอดมิน อ่านข้อความแต่ไม่ตอบ อีกสองวันต่อมาถามไปอีกอ่านแต่กว่าจะตอบนานมาก บอกเดียวถามหาข้อมูลให้ งง 4.บอกยกเลิกนัด follow up ทั้งหมด เพราะคงไม่กลับไปใช่บริการอีก แต่ก็ยังคงโทรมาทั่งก่อนวันนัดและวันนัด ทำงานไม่มีการสื่อสารกันเลยเหรอครับ  ผิดหวังครับ เห็นโฆษณาอย่างดีสถานดุดีแต่ไม่คิดเลยว่าจะเป็นแบบนี่ ถ้าคิดแต่แค่ต้องการรายได้หรือบิลสูง ๆ จากลูกค้า ถือว่าผิดหวังครับ ผม ยอมจ่ายนะถ้าบริการดีและดูแลน้องหมาผมดีกว่านี่ คิดดีดีก่อนนะครับจะได้ไม่ผิดหวังเหมือนผม"/>
        <s v="ก่อนวันพาน้องหมาไปทำหมัน เราไลน์สอบถามข้อมูลกับทางโรงพยาบาลก่อน ได้รับแจ้งว่าค่าทำหมัน 8,500 บาท ไม่มี บวกเพิ่ม (แต่ยังไม่รวมค่ายา และคอลล่ากันเลีย) ตอนแรกก็งงว่า “ไม่มีบวกเพิ่ม” แล้วทำไมยังมีค่ายากับค่าคอลล่า? แต่ก็ไม่ได้ติดใจ เพราะมีการแจ้งไว้ล่วงหน้า  ต่อมาเลยสอบถามเพิ่มว่า ถ้าจะขูดหินปูน ต้องเพิ่มเท่าไหร่? ทางไลน์ตอบกลับมาว่า 3,000 - 4,000 บาท เราโอเคกับราคานี้ จึงตัดสินใจพาน้องไปทำหมันที่นี่ เพราะคิดว่าค่าใช้จ่ายจะอยู่ที่ประมาณ 8,500 + 3,000-4,000 + ค่ายา + ค่าคอลล่า  วันที่เข้าไปทำหมัน วันแรกเจอคุณหมอ เจาะเลือดเสร็จ เราถามหมออีกครั้งว่า ค่าขูดหินปูนเท่าไร? หมอบอก 5,000 - 6,000 บาท เราเลยแย้งไปว่า ตอนสอบถามในไลน์บอก 3,000 - 4,000 บาท หมอก็บอกว่าอาจจะ “จำผิด”  หลังจากทำทุกอย่างเสร็จ ไปที่ฝ่ายการเงิน เราตัดสินใจถามอีกครั้ง ก็ได้รับคำตอบว่า 5,000 - 6,000 บาท เหมือนกัน เราก็งงว่าสรุปตกลงราคาเท่าไรกันแน่? ทำไมแจ้งไม่ตรงกัน? ต่างกันตั้ง 2,000 บาท จริงๆ เราจ่ายไหว แต่รู้สึกไม่แฟร์ เหมือนโดนเอาเปรียบ แจ้งราคาหนึ่ง คิดอีกอย่างหนึ่ง  เท่านั้นยังไม่พอ มีการบวกค่าบริการอีก 160 บาท พอถามไปก็บอกว่าเป็น “ค่าอ่านฟิล์ม” เรายิ่งงง เพราะตอนแรกบอกว่าไม่มีบวกเพิ่ม แล้วนี่คืออะไรอีก? สรุปคือ ค่าทำหมันที่บอกว่า “ไม่มีบวกเพิ่ม” จริงๆ แล้ว มีบวก หลายรายการ ไปอ่านรีวิวของคนอื่นก็พบว่ามีประสบการณ์คล้ายกัน  อยากให้โรงพยาบาล ปรับปรุงการสื่อสาร และทำให้ทุกอย่างมันชัดเจน"/>
        <s v="มาฝากdaycare ตอบรับกลับสุนัขตัวเปียก มีกลิ่นเหม็น"/>
        <s v="น้องหมาแทะสิ่งแปลกปลอม(สปริงล็อกคอลล่า)"/>
        <s v="บริการแย่มาก แมวโดนผึ้งต่อยปากบวม ก่อนมาไลน์ถามบอกมีหมอพร้อมตรวจ มารอหมอเกิน 1 ชั่วโมง ไม่มีหมอตรวจ ไม่มีเจ้าหน้าที่มาแจ้งอะไร ต้องไปถามถึงทราบว่าหมอทำอัลตราซาวน์อยู่ ต้องรออีก 30 นาที กลับไป รพ สัตว์ทองหล่อเหมือนเดิม!!! ว่าจะมาลองเห็นคนรีวิวดี"/>
        <s v="โทรไปถามราคาฉีดวัคซีน แจ้งถามราคาไปกับเจ้าหน้าที่รับโทรศัพท์ พอถามจบก็เงียบไปเลย ไม่มีการตอบรับหรืออะไรได้ยินแต่เสียงคุยกันเอง รอสายประมาณนาที ไม่มีสิ่งใดๆตอบกลับมา คือ surprise กับบริการที่ได้รับอยู่ ไม่คิดว่าเป็นแบบนี้  Update และคอนเฟิม ลองให้โอกาศอีกครั้ง กับช่องทาง line ไปสอบถามเรทราคาอาบน้ำแมว ถามสองรอบ คำตอบที่ได้คือแบบนี้ หัวจะปวดกับการบริการ จริงๆค่ะ คือที่บ้านมีแมวหลายตัว หลายพันธ์จะให้มาบอกครบทุกตัวก็ไม่สะดวก แล้วน้ำหนัก 0 คือแมวอะไร แค่ส่ง price list ที่แปะไว้ที่โรงพยาบาทมาให้ก็ยังจะดีเสียกว่า"/>
        <s v="*สัตว์เลี้ยงเสียชีวิตแล้ว* ช่วงเวลาที่รักษาอยู่ที่อารักษ์ เจ้าของมองว่าในขณะที่เราต้องรอหมอเฉพาะทางด้านระบบประสาทเข้ามาตรวจสัปดาห์ละครั้ง ทำไมเราไม่ส่งไปตรวจที่อื่นต่อ สัตว์ต้องรอ 7 วันเพื่อตรวจทำให้อาการแย่ลง และเสียชีวิตในเวลาต่อมา"/>
        <s v="แมวเป็นโรคผิวหนัง ลูกค้าอยากให้ตรวจรอยโรคสองตำแหน่งเอง แต่พอคิดบิลออกมาบอกรอยโรคอยู่ใกล้ๆกันทำไมต้องคิดสองที่ ที่อื่นที่ฉันไปตรวจถ้ามา follow up เขาไม่คิดเงินค่าตรวจใต้กล้องจุลด้วยซ้ำ ค่าใช้จ่ายอื่นๆก็แพงกว่าโรงพยาบาลอื่น หลักๆคือไม่พอใจเรื่องราคา"/>
        <s v="พยบ ทำหัตถาร(swabอุจจาระ)โดยพลการ"/>
        <s v="น้องไปอาบน้ำตัดขน กลับมาเท้าเจ็บ เดินกะเผลก ไปครั้งแรก และไม่ประทับใจคะ"/>
        <s v="ลูกค้าตอบ Email กลับมาแล้วไม่มีใคร Response กลับ"/>
        <s v="test"/>
        <s v="ลูกค้าแจ้งว่าคุณหมอไม่ได้แจ้งว่าจะมีการ X-ray, Ultrasound ก่อนที่จะทำ จึงขอคืนเงินเข้า Prepayment ไวใช้ในครั้งต่อไป"/>
        <s v="น้องกินสปริงคอลล่า ขณะที่พักอยู่ที่ IPD ของเรา"/>
        <s v="ผ้าก๊อซหาย คาดว่าน้องกินเข้าไป"/>
        <s v="แมวมีอาการอาเจียน 4รอบ แจ้งทางโรงพยาบาลให้หมอโทรกลับ เพราะกังวลและอยากทราบว่าควรมา Admit  หรือไม่ รอทั้งคืนไม่มีใครติดต่อมา ไม่แน่ใจว่าถ้าไม่พร้อมให้บริการจะเปิด 24ชั่วโมงทำไมหรอครับ ถ้าใช้คำพูดของลูกค้าตรงๆอีก 1 ประโยคคือ &quot;แค่ Simple operation ยังทำไม่ได้ จะไปทำอะไรได้ครับ&quot;"/>
        <s v="สัตว์มีอาการภูมิแพ้ทางผิวหนังกำเริบในระหว่างที่ฝากเลี้ยง Hotel (มียาป้อนเป็น prednisolone อยู่) เจ้าของแจ้งว่าเกิดจากการดูแลรักษาความสะอาดที่ไม่เหมาะสม และให้อาหารไม่ตามคำสั่งของเจ้าของ "/>
        <s v="เจ้าขอโทรเข้ามา 04.38 น. เพื่อสอบถามจะนำสัตว์ป่วยเข้ามารักษา แต่พนักงานที่รับสายมีน้ำเสียงงัวเงียเหมือนเพิ่งตื่นนอน และพนักงานอีกคนถามกลับว่าสะดวกมาช่วงเช้าไหม เจ้าของรู้สึกไม่พอใจเนื่องจากสัตว์มีอาการอาเจียน 10 กว่ารอบซึ่งเจ้าของรอดูอาการแล้วไม่ดีเลยอยากพามา"/>
        <s v="เจ้าของไม่พอใจเรื่องการคิดค่าบริการที่ไม่ชัดเจน (แค่มาตัดเล็บแต่ทำไมต้องคิดค่าบริการโรงพยาบาลและต้องนัดเจอหมอ) สัตว์ค่อนข้างดิ้นและไม่ยอมให้ทำง่าย ๆ ต้องใช้เจ้าของผู้ชายและผู้ช่วยผู้ชายช่วยกันจับบังคับ และในระหว่างตัดสัตว์ดิ้นมากทำให้มีบางเล็บมีเลือดออก ช่างได้ใช้ผงห้ามเลือดห้ามจนแน่ใจว่าเลือดหยุดไหลแล้วและหลังจากตัดเล็บเจ้าของพาสุนัขเดินกลับระยะทางประมาณ 1 กม. หลังจากนั้นก็มีเลือดไหลอีกเจ้าของเลยไปโพสต์ลงใน google review"/>
        <s v="แมวมาด้วยอาการจับตามตัวแล้วมีอาการเจ็บ ให้ข้อมูลไม่ชัดเจน หมอ x-ray แจ้งว่าเป็น OA เลยนัดให้มาตรวจกับหมอเฉพาะทาง แต่หลังจากนั้นพบว่าเป็นฝี"/>
        <s v="บริเวณปล่อยเดินขับถ่ายไม่สะอาด อาคารจะจุดที่เป็นอันตรายต่อสัตว์"/>
        <s v="บริการ พอใช้ได้ นำสัตว์มารักษา ห้องพัก เตียงค่อนข้างสูง ถ้า สัตว์เราตัวใหญ่คงกระโดดขึ้นลงได้ แต่ก็ยังสูง ถ้าตัวเล็กหมดสิทธิ์ สัตว์จะลงไปฉี่ ลำบาก ในห้องนอน ไม่มี อะไรเลย มีแค่ตู้เย็น น้ำให้วันละ 3-4ขวด ห้องน้ำ มีแค่สบู่ล้างมือ และทิชชู่ เก็บเงินมัดจำล่วงหน้า ก่อนเข้าพัก แต่ยังไม่ได้เช็คเอ้าออกเลย รีบขึ้นมาเก็บเงิน ค่าพักค่ารักษาเกือบทั้งหมด เพิ่งเคยเจอเหมือนกัน พนักงาน ทำงาน กัน งงๆ มีรปภ รักษาความปลอดภัยแค่ 1 ท่าน แม่บ้าน อยู่ถึง 22.00 โรงพยาบาล สามารถ เดินเข้าออกได้เลย กดลิฟท์ขึ้นไปชั้นห้องพัก โดยไม่ต้องใช้คีการ์ด หรือ กุญแจใดๆ ห้องพัก นอนกับ สัตว์เลี้ยง คืนละ 2500 icu 880 รวมๆแล้วพอใช้ได้ แต่ยังไม่สมกับราคาที่ต้องจ่าย ส่วนหมอ น่ารักดี พูดจาดี พยาบาล ก็ทำงาน พอใช้ได้"/>
        <s v="ค่าใช้จ่ายของอาร์โนลด์ (15170)เท่ากับ 10,006 บาท , ค่าใช้จ่ายของชาล็อต (17136)เท่ากับ 9,833.64 บาท รวมทั้งหมดจะเท่ากับ 19,839.64 บาท แต่ลูกค้าจ่ายเงินค่ามัดจำมาไว้แล้วตัวละ 6,500 บาทจะเท่ากับ 13,000 บาท ซึ่งจริงๆแล้วจะต้องเก็บเงินลูกค้าเพิ่ม 6,839.64 บาท แต่เก็บเงินลูกค้าราคาเต็มทำให้ต้องโอนเงินคืนเข้าบัญชีลูกค้าจำนวน 13,000 บาทค่ะ"/>
        <s v="ได้มาตรวจสุขภาพตามPackage Health Check ราคา 3,500 บาทไปวันที่12/7/68 รายการที่ส่งมาให้มีตรวจพยาธิหนอนหัวใจ แต่หมอSAN โทรมาแจ้งว่าไม่ได้ตรวจไปในรอบแรก รอบสองโทรมาบอกว่าตรวจ ทำให้รู้สึกไม่มั่นใจว่าน้องได้รับการตรวจจริงไหม และการตรวจพยาธิหนอนหัวใจยังใช้วิธีการตรวจที่ไม่100% อีก ทำให้รู้สึกว่าPackage นี้กำกวม ไม่บอกลูกค้าให้หมด"/>
        <s v="น้องมีนัดฉีดวัคซีนรวมประจำปี แต่หมอNNติดต่อลูกค้าไม่ได้ และดูในสมุดวัคซีนว่าน้องเคยฉีด 2 เข็ม เลยฉีดไปให้ 2 เข็ม จึงทำให้น้องแพ้วัคซีน อาเจียนหลายครั้ง เจ้าของเลยพามาAdmit ทันที"/>
        <s v="เจ้าของพามาฝาก Day care และขอเอกสารใบยืนยันการฝากกลับด้วย แต่เราแจ้งว่าปกติไม่มี เจ้าของเลยแจ้งว่าควรจะมีเนื่องจากจะได้เข้าใจตรงกันทั้งผู้ฝากและพยาบาลที่ดูแล เรื่องการกิน นิสัย ข้อควรระวังแต่ละตัว และราคาค่าใช้จ่าย และโรงพยาบาลดูใหญ่ควรทำระบบให้ดีกว่านี้และรัดกุมกว่านี้"/>
        <s v="1. ค่าห้อง Family room กับ ICU dog ทำไมคิดแยกกัน  2. หมอวอร์ดเปลี่ยนคนทุกวัน คุยไม่รู้เรื่อง 3. หมอคนนึงแจ้งว่าผ่าตัดได้ อีกคนแจ้งว่าผ่าตัดไม่ได้ 4. ห้อง Family ไม่มีอะไรให้เลย  5. บิลไม่มีอธิบายอะไรเลย ค่ารักษาแพง"/>
        <s v="มาใช้โปรตรวจสุขภาพ young cat/dog ฟรีmicrochip แต่จนท.แจ้งว่าหมดโปรแล้ว แต่ลูกค้าไม่ยอมจะทำให้ได้"/>
        <s v="นายปัณณวัชร์ ทำโปรโมชั่นมาไม่แจ้งหน้างาน ทำให้หน้างานเดือดร้อน ไม่แจ้งให้ห้องยาเตรียมของ ในสต๊อกไม่มีไมโคชิฟทำให้ลูกค้าไม่โอเค เนื่องจากเสียเวลาที่จะต้องเข้ามาโรงพยาบาล"/>
        <s v="1. อยากให้ฟอร์มบิลของดรงพยาบาลโดยพื้นฐานแสดงรายละเอียดค่าใช้จ่ายทั้งหมด พร้อมแยกรายการแต่ละวัน  2.ก่อนแอดมิทได้รับแจ้งว่าค่าใช้จ่ายประมาณ 30,000 บาท พอมาแอดมิทจริงยอดสูงมากๆ"/>
        <e v="#VALUE!"/>
        <s v="จูนมีนัดทำแผลไว้เวลา10.30น.รอจนถึง11.30น.ยังไม่ได้ตรวจ และเจ้าของมีธุระ เลยไม่รอ และกลับบ้านเลย" u="1"/>
        <s v="น้องมาผ่าตัดมะเร็งวันที่ 27/9 แล้วเสียชีวิต เจ้าของรู้สึกว่าเราดูแลหลังผ่าตัดไม่ดี ทำให้น้องถึงแกชีวิต" u="1"/>
      </sharedItems>
    </cacheField>
    <cacheField name="การแก้ไขเบื้องต้น (ถ้ามี)" numFmtId="0">
      <sharedItems containsMixedTypes="1" containsNumber="1" containsInteger="1" minValue="0" maxValue="0" longText="1"/>
    </cacheField>
    <cacheField name="รหัสพนักงานผู้รายงาน (เพื่อสอบถามข้อมูลเพิ่มเติม)" numFmtId="0">
      <sharedItems containsMixedTypes="1" containsNumber="1" containsInteger="1" minValue="0" maxValue="191"/>
    </cacheField>
    <cacheField name="ชื่อพนักงานที่อยู่ในเหตุการณ์" numFmtId="0">
      <sharedItems containsMixedTypes="1" containsNumber="1" containsInteger="1" minValue="0" maxValue="0"/>
    </cacheField>
    <cacheField name="ต้องคืนเงิน/ Credit note ลูกค้าหรือไม่" numFmtId="0">
      <sharedItems containsMixedTypes="1" containsNumber="1" containsInteger="1" minValue="0" maxValue="0"/>
    </cacheField>
    <cacheField name="Invoice#/ Prepayment#" numFmtId="0">
      <sharedItems containsMixedTypes="1" containsNumber="1" containsInteger="1" minValue="0" maxValue="2.12500155732125E+21"/>
    </cacheField>
    <cacheField name="วันที่รับเงิน" numFmtId="0">
      <sharedItems containsDate="1" containsMixedTypes="1" minDate="1899-12-31T00:00:00" maxDate="2025-10-23T00:00:00"/>
    </cacheField>
    <cacheField name="ชำระโดย" numFmtId="0">
      <sharedItems containsMixedTypes="1" containsNumber="1" containsInteger="1" minValue="0" maxValue="0"/>
    </cacheField>
    <cacheField name="ต้อง Adjust หรือ คืนเงินลูกค้าทางช่องทางใด" numFmtId="0">
      <sharedItems containsMixedTypes="1" containsNumber="1" containsInteger="1" minValue="0" maxValue="0"/>
    </cacheField>
    <cacheField name="ชื่อรายการที่ต้องคืน และมูลค่า (รวม VAT)" numFmtId="0">
      <sharedItems containsMixedTypes="1" containsNumber="1" containsInteger="1" minValue="0" maxValue="0"/>
    </cacheField>
    <cacheField name="กระบวนการที่ถูก Complain2" numFmtId="0">
      <sharedItems containsBlank="1"/>
    </cacheField>
    <cacheField name="อัพเดทการจัดการ" numFmtId="0">
      <sharedItems containsBlank="1"/>
    </cacheField>
    <cacheField name="วันที่จัดการ" numFmtId="0">
      <sharedItems containsDate="1" containsBlank="1" containsMixedTypes="1" minDate="2025-06-04T00:00:00" maxDate="2025-10-23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80.732474189812" backgroundQuery="1" createdVersion="8" refreshedVersion="8" minRefreshableVersion="3" recordCount="0" supportSubquery="1" supportAdvancedDrill="1" xr:uid="{4F2F8BDF-3988-4B09-A967-8E362DFA3E39}">
  <cacheSource type="external" connectionId="1"/>
  <cacheFields count="6">
    <cacheField name="[OfficeForms Table].[สาขาที่เข้ารับบริการ].[สาขาที่เข้ารับบริการ]" caption="สาขาที่เข้ารับบริการ" numFmtId="0" hierarchy="5" level="1">
      <sharedItems containsSemiMixedTypes="0" containsNonDate="0" containsString="0"/>
    </cacheField>
    <cacheField name="[OfficeForms Table].[วันที่เกิดเหตุ].[วันที่เกิดเหตุ]" caption="วันที่เกิดเหตุ" numFmtId="0" hierarchy="6" level="1">
      <sharedItems containsSemiMixedTypes="0" containsNonDate="0" containsDate="1" containsString="0" minDate="2025-06-02T00:00:00" maxDate="2025-09-01T00:00:00" count="39">
        <d v="2025-06-02T00:00:00"/>
        <d v="2025-06-04T00:00:00"/>
        <d v="2025-06-05T00:00:00"/>
        <d v="2025-06-06T00:00:00"/>
        <d v="2025-06-08T00:00:00"/>
        <d v="2025-06-09T00:00:00"/>
        <d v="2025-06-10T00:00:00"/>
        <d v="2025-06-11T00:00:00"/>
        <d v="2025-06-14T00:00:00"/>
        <d v="2025-06-15T00:00:00"/>
        <d v="2025-06-22T00:00:00"/>
        <d v="2025-06-24T00:00:00"/>
        <d v="2025-06-26T00:00:00"/>
        <d v="2025-06-30T00:00:00"/>
        <d v="2025-07-14T00:00:00"/>
        <d v="2025-07-17T00:00:00"/>
        <d v="2025-07-18T00:00:00"/>
        <d v="2025-07-21T00:00:00"/>
        <d v="2025-07-26T00:00:00"/>
        <d v="2025-07-29T00:00:00"/>
        <d v="2025-08-02T00:00:00"/>
        <d v="2025-08-03T00:00:00"/>
        <d v="2025-08-04T00:00:00"/>
        <d v="2025-08-06T00:00:00"/>
        <d v="2025-08-07T00:00:00"/>
        <d v="2025-08-08T00:00:00"/>
        <d v="2025-08-09T00:00:00"/>
        <d v="2025-08-10T00:00:00"/>
        <d v="2025-08-11T00:00:00"/>
        <d v="2025-08-13T00:00:00"/>
        <d v="2025-08-14T00:00:00"/>
        <d v="2025-08-16T00:00:00"/>
        <d v="2025-08-20T00:00:00"/>
        <d v="2025-08-22T00:00:00"/>
        <d v="2025-08-24T00:00:00"/>
        <d v="2025-08-26T00:00:00"/>
        <d v="2025-08-27T00:00:00"/>
        <d v="2025-08-29T00:00:00"/>
        <d v="2025-08-31T00:00:00"/>
      </sharedItems>
    </cacheField>
    <cacheField name="[OfficeForms Table].[วันที่เกิดเหตุ (Month)].[วันที่เกิดเหตุ (Month)]" caption="วันที่เกิดเหตุ (Month)" numFmtId="0" hierarchy="22" level="1">
      <sharedItems count="1">
        <s v="Oct"/>
      </sharedItems>
    </cacheField>
    <cacheField name="[OfficeForms Table].[หน่วยงานที่ถูกร้องเรียน].[หน่วยงานที่ถูกร้องเรียน]" caption="หน่วยงานที่ถูกร้องเรียน" numFmtId="0" hierarchy="10" level="1">
      <sharedItems count="1">
        <s v="VET"/>
      </sharedItems>
    </cacheField>
    <cacheField name="[Measures].[Count of Id]" caption="Count of Id" numFmtId="0" hierarchy="27" level="32767"/>
    <cacheField name="[OfficeForms Table].[รายละเอียดข้อร้องเรียน].[รายละเอียดข้อร้องเรียน]" caption="รายละเอียดข้อร้องเรียน" numFmtId="0" hierarchy="12" level="1">
      <sharedItems count="4" longText="1">
        <s v="แมวเป็นโรคผิวหนัง ลูกค้าอยากให้ตรวจรอยโรคสองตำแหน่งเอง แต่พอคิดบิลออกมาบอกรอยโรคอยู่ใกล้ๆกันทำไมต้องคิดสองที่ ที่อื่นที่ฉันไปตรวจถ้ามา follow up เขาไม่คิดเงินค่าตรวจใต้กล้องจุลด้วยซ้ำ ค่าใช้จ่ายอื่นๆก็แพงกว่าโรงพยาบาลอื่น หลักๆคือไม่พอใจเรื่องราคา"/>
        <s v="บริการ พอใช้ได้ นำสัตว์มารักษา ห้องพัก เตียงค่อนข้างสูง ถ้า สัตว์เราตัวใหญ่คงกระโดดขึ้นลงได้ แต่ก็ยังสูง ถ้าตัวเล็กหมดสิทธิ์ สัตว์จะลงไปฉี่ ลำบาก ในห้องนอน ไม่มี อะไรเลย มีแค่ตู้เย็น น้ำให้วันละ 3-4ขวด ห้องน้ำ มีแค่สบู่ล้างมือ และทิชชู่ เก็บเงินมัดจำล่วงหน้า ก่อนเข้าพัก แต่ยังไม่ได้เช็คเอ้าออกเลย รีบขึ้นมาเก็บเงิน ค่าพักค่ารักษาเกือบทั้งหมด เพิ่งเคยเจอเหมือนกัน พนักงาน ทำงาน กัน งงๆ มีรปภ รักษาความปลอดภัยแค่ 1 ท่าน แม่บ้าน อยู่ถึง 22.00 โรงพยาบาล สามารถ เดินเข้าออกได้เลย กดลิฟท์ขึ้นไปชั้นห้องพัก โดยไม่ต้องใช้คีการ์ด หรือ กุญแจใดๆ ห้องพัก นอนกับ สัตว์เลี้ยง คืนละ 2500 icu 880 รวมๆแล้วพอใช้ได้ แต่ยังไม่สมกับราคาที่ต้องจ่าย ส่วนหมอ น่ารักดี พูดจาดี พยาบาล ก็ทำงาน พอใช้ได้" u="1"/>
        <s v="ค่าใช้จ่ายของอาร์โนลด์ (15170)เท่ากับ 10,006 บาท , ค่าใช้จ่ายของชาล็อต (17136)เท่ากับ 9,833.64 บาท รวมทั้งหมดจะเท่ากับ 19,839.64 บาท แต่ลูกค้าจ่ายเงินค่ามัดจำมาไว้แล้วตัวละ 6,500 บาทจะเท่ากับ 13,000 บาท ซึ่งจริงๆแล้วจะต้องเก็บเงินลูกค้าเพิ่ม 6,839.64 บาท แต่เก็บเงินลูกค้าราคาเต็มทำให้ต้องโอนเงินคืนเข้าบัญชีลูกค้าจำนวน 13,000 บาทค่ะ" u="1"/>
        <s v="ลูกค้า email Complain เข้ามาแจ้งว่าตั้งใจมาขูดหินปูน ก่อนเข้ารับบริการ สัตวแพทย์ได้แจ้งว่าอาจมีการถอนฟันเพิ่มเติม โดยคิดราคา “ซี่ละ 1,000–3,000 บาท” ซึ่งดิฉันได้ปฏิเสธมาตลอด ไม่ต้องการให้ถอนฟัน เพราะเกรงว่าสุนัขจะเจ็บตัวโดยไม่จำเป็น และสัตวแพทย์ก็ยืนยันว่าหากไม่มีปัญหามากก็ไม่ต้องถอน กระทั่งวันถัดมา เมื่อได้พบสัตวแพทย์อีกท่านก็ได้แจ้งเช่นเดียวกัน และดิฉันก็ยังคงยืนยันปฏิเสธเช่นเดิม อย่างไรก็ตาม ในระหว่างที่สุนัขอยู่ระหว่างการขูดหินปูน ทางโรงพยาบาลมีการโทรมาแจ้งว่าควรถอนฟันด้วยเหตุผลทางการแพทย์ ด้วยความรักสุนัขจึงอนุมัติให้ดำเนินการ แต่ในสายไม่เคยมีการแจ้งว่าจะมีค่าใช้จ่ายเพิ่มเติมในส่วนยาและอุปกรณ์อื่น ๆ ที่นอกเหนือจากราคาที่แจ้งไว้ก่อนหน้า ซึ่งถือว่าเป็นการเอาเปรียบผู้บริโภค เพราะเจ้าของไม่ได้รับข้อมูลที่ครบถ้วนก่อนการตัดสินใจ 2.ประสบการณ์ที่รู้สึกเหมือนถูกบังคับให้จ่ายโดยส่วนตัวเคยใช้บริการโรงพยาบาลสัตว์เอกชนหลายแห่ง เข้าใจดีว่ามีค่าใช้จ่ายสูง และสัตวแพทย์จำเป็นต้องมีเป้าหมายยอดรายได้ แต่ครั้งนี้กลับรู้สึกชัดเจนว่า การขายบริการและการคิดค่าใช้จ่าย ถูกให้ความสำคัญมากกว่าการตัดสินใจของเจ้าของสัตว์เลี้ยง แตกต่างจากโรงพยาบาลอื่น ๆ ที่ถึงแม้มีค่าใช้จ่ายสูง ดิฉันก็ยินดีจ่ายเพราะได้รับการสื่อสารที่โปร่งใสและเป็นธรรม" u="1"/>
      </sharedItems>
    </cacheField>
  </cacheFields>
  <cacheHierarchies count="28">
    <cacheHierarchy uniqueName="[OfficeForms Table].[Id]" caption="Id" attribute="1" defaultMemberUniqueName="[OfficeForms Table].[Id].[All]" allUniqueName="[OfficeForms Table].[Id].[All]" dimensionUniqueName="[OfficeForms Table]" displayFolder="" count="2" memberValueDatatype="20" unbalanced="0"/>
    <cacheHierarchy uniqueName="[OfficeForms Table].[Start time]" caption="Start time" attribute="1" time="1" defaultMemberUniqueName="[OfficeForms Table].[Start time].[All]" allUniqueName="[OfficeForms Table].[Start time].[All]" dimensionUniqueName="[OfficeForms Table]" displayFolder="" count="0" memberValueDatatype="7" unbalanced="0"/>
    <cacheHierarchy uniqueName="[OfficeForms Table].[Completion time]" caption="Completion time" attribute="1" time="1" defaultMemberUniqueName="[OfficeForms Table].[Completion time].[All]" allUniqueName="[OfficeForms Table].[Completion time].[All]" dimensionUniqueName="[OfficeForms Table]" displayFolder="" count="0" memberValueDatatype="7" unbalanced="0"/>
    <cacheHierarchy uniqueName="[OfficeForms Table].[Email]" caption="Email" attribute="1" defaultMemberUniqueName="[OfficeForms Table].[Email].[All]" allUniqueName="[OfficeForms Table].[Email].[All]" dimensionUniqueName="[OfficeForms Table]" displayFolder="" count="0" memberValueDatatype="130" unbalanced="0"/>
    <cacheHierarchy uniqueName="[OfficeForms Table].[Name]" caption="Name" attribute="1" defaultMemberUniqueName="[OfficeForms Table].[Name].[All]" allUniqueName="[OfficeForms Table].[Name].[All]" dimensionUniqueName="[OfficeForms Table]" displayFolder="" count="0" memberValueDatatype="130" unbalanced="0"/>
    <cacheHierarchy uniqueName="[OfficeForms Table].[สาขาที่เข้ารับบริการ]" caption="สาขาที่เข้ารับบริการ" attribute="1" defaultMemberUniqueName="[OfficeForms Table].[สาขาที่เข้ารับบริการ].[All]" allUniqueName="[OfficeForms Table].[สาขาที่เข้ารับบริการ].[All]" dimensionUniqueName="[OfficeForms Table]" displayFolder="" count="2" memberValueDatatype="130" unbalanced="0">
      <fieldsUsage count="2">
        <fieldUsage x="-1"/>
        <fieldUsage x="0"/>
      </fieldsUsage>
    </cacheHierarchy>
    <cacheHierarchy uniqueName="[OfficeForms Table].[วันที่เกิดเหตุ]" caption="วันที่เกิดเหตุ" attribute="1" time="1" defaultMemberUniqueName="[OfficeForms Table].[วันที่เกิดเหตุ].[All]" allUniqueName="[OfficeForms Table].[วันที่เกิดเหตุ].[All]" dimensionUniqueName="[OfficeForms Table]" displayFolder="" count="2" memberValueDatatype="7" unbalanced="0">
      <fieldsUsage count="2">
        <fieldUsage x="-1"/>
        <fieldUsage x="1"/>
      </fieldsUsage>
    </cacheHierarchy>
    <cacheHierarchy uniqueName="[OfficeForms Table].[ชื่อสัตว์เลี้ยง หรือ HN สัตว์เลี้ยง]" caption="ชื่อสัตว์เลี้ยง หรือ HN สัตว์เลี้ยง" attribute="1" defaultMemberUniqueName="[OfficeForms Table].[ชื่อสัตว์เลี้ยง หรือ HN สัตว์เลี้ยง].[All]" allUniqueName="[OfficeForms Table].[ชื่อสัตว์เลี้ยง หรือ HN สัตว์เลี้ยง].[All]" dimensionUniqueName="[OfficeForms Table]" displayFolder="" count="0" memberValueDatatype="130" unbalanced="0"/>
    <cacheHierarchy uniqueName="[OfficeForms Table].[ชื่อผู้ร้องเรียน]" caption="ชื่อผู้ร้องเรียน" attribute="1" defaultMemberUniqueName="[OfficeForms Table].[ชื่อผู้ร้องเรียน].[All]" allUniqueName="[OfficeForms Table].[ชื่อผู้ร้องเรียน].[All]" dimensionUniqueName="[OfficeForms Table]" displayFolder="" count="0" memberValueDatatype="130" unbalanced="0"/>
    <cacheHierarchy uniqueName="[OfficeForms Table].[เบอร์โทรศัพท์ผู้ร้องเรียน]" caption="เบอร์โทรศัพท์ผู้ร้องเรียน" attribute="1" defaultMemberUniqueName="[OfficeForms Table].[เบอร์โทรศัพท์ผู้ร้องเรียน].[All]" allUniqueName="[OfficeForms Table].[เบอร์โทรศัพท์ผู้ร้องเรียน].[All]" dimensionUniqueName="[OfficeForms Table]" displayFolder="" count="0" memberValueDatatype="130" unbalanced="0"/>
    <cacheHierarchy uniqueName="[OfficeForms Table].[หน่วยงานที่ถูกร้องเรียน]" caption="หน่วยงานที่ถูกร้องเรียน" attribute="1" defaultMemberUniqueName="[OfficeForms Table].[หน่วยงานที่ถูกร้องเรียน].[All]" allUniqueName="[OfficeForms Table].[หน่วยงานที่ถูกร้องเรียน].[All]" dimensionUniqueName="[OfficeForms Table]" displayFolder="" count="2" memberValueDatatype="130" unbalanced="0">
      <fieldsUsage count="2">
        <fieldUsage x="-1"/>
        <fieldUsage x="3"/>
      </fieldsUsage>
    </cacheHierarchy>
    <cacheHierarchy uniqueName="[OfficeForms Table].[กระบวนการที่ถูก Complain]" caption="กระบวนการที่ถูก Complain" attribute="1" defaultMemberUniqueName="[OfficeForms Table].[กระบวนการที่ถูก Complain].[All]" allUniqueName="[OfficeForms Table].[กระบวนการที่ถูก Complain].[All]" dimensionUniqueName="[OfficeForms Table]" displayFolder="" count="0" memberValueDatatype="130" unbalanced="0"/>
    <cacheHierarchy uniqueName="[OfficeForms Table].[รายละเอียดข้อร้องเรียน]" caption="รายละเอียดข้อร้องเรียน" attribute="1" defaultMemberUniqueName="[OfficeForms Table].[รายละเอียดข้อร้องเรียน].[All]" allUniqueName="[OfficeForms Table].[รายละเอียดข้อร้องเรียน].[All]" dimensionUniqueName="[OfficeForms Table]" displayFolder="" count="2" memberValueDatatype="130" unbalanced="0">
      <fieldsUsage count="2">
        <fieldUsage x="-1"/>
        <fieldUsage x="5"/>
      </fieldsUsage>
    </cacheHierarchy>
    <cacheHierarchy uniqueName="[OfficeForms Table].[การแก้ไขเบื้องต้น (ถ้ามี)]" caption="การแก้ไขเบื้องต้น (ถ้ามี)" attribute="1" defaultMemberUniqueName="[OfficeForms Table].[การแก้ไขเบื้องต้น (ถ้ามี)].[All]" allUniqueName="[OfficeForms Table].[การแก้ไขเบื้องต้น (ถ้ามี)].[All]" dimensionUniqueName="[OfficeForms Table]" displayFolder="" count="0" memberValueDatatype="130" unbalanced="0"/>
    <cacheHierarchy uniqueName="[OfficeForms Table].[รหัสพนักงานผู้รายงาน (เพื่อสอบถามข้อมูลเพิ่มเติม)]" caption="รหัสพนักงานผู้รายงาน (เพื่อสอบถามข้อมูลเพิ่มเติม)" attribute="1" defaultMemberUniqueName="[OfficeForms Table].[รหัสพนักงานผู้รายงาน (เพื่อสอบถามข้อมูลเพิ่มเติม)].[All]" allUniqueName="[OfficeForms Table].[รหัสพนักงานผู้รายงาน (เพื่อสอบถามข้อมูลเพิ่มเติม)].[All]" dimensionUniqueName="[OfficeForms Table]" displayFolder="" count="0" memberValueDatatype="130" unbalanced="0"/>
    <cacheHierarchy uniqueName="[OfficeForms Table].[ชื่อพนักงานที่อยู่ในเหตุการณ์]" caption="ชื่อพนักงานที่อยู่ในเหตุการณ์" attribute="1" defaultMemberUniqueName="[OfficeForms Table].[ชื่อพนักงานที่อยู่ในเหตุการณ์].[All]" allUniqueName="[OfficeForms Table].[ชื่อพนักงานที่อยู่ในเหตุการณ์].[All]" dimensionUniqueName="[OfficeForms Table]" displayFolder="" count="0" memberValueDatatype="130" unbalanced="0"/>
    <cacheHierarchy uniqueName="[OfficeForms Table].[ต้องคืนเงิน/ Credit note ลูกค้าหรือไม่]" caption="ต้องคืนเงิน/ Credit note ลูกค้าหรือไม่" attribute="1" defaultMemberUniqueName="[OfficeForms Table].[ต้องคืนเงิน/ Credit note ลูกค้าหรือไม่].[All]" allUniqueName="[OfficeForms Table].[ต้องคืนเงิน/ Credit note ลูกค้าหรือไม่].[All]" dimensionUniqueName="[OfficeForms Table]" displayFolder="" count="0" memberValueDatatype="130" unbalanced="0"/>
    <cacheHierarchy uniqueName="[OfficeForms Table].[Invoice#/ Prepayment#]" caption="Invoice#/ Prepayment#" attribute="1" defaultMemberUniqueName="[OfficeForms Table].[Invoice#/ Prepayment#].[All]" allUniqueName="[OfficeForms Table].[Invoice#/ Prepayment#].[All]" dimensionUniqueName="[OfficeForms Table]" displayFolder="" count="0" memberValueDatatype="130" unbalanced="0"/>
    <cacheHierarchy uniqueName="[OfficeForms Table].[วันที่รับเงิน]" caption="วันที่รับเงิน" attribute="1" time="1" defaultMemberUniqueName="[OfficeForms Table].[วันที่รับเงิน].[All]" allUniqueName="[OfficeForms Table].[วันที่รับเงิน].[All]" dimensionUniqueName="[OfficeForms Table]" displayFolder="" count="0" memberValueDatatype="7" unbalanced="0"/>
    <cacheHierarchy uniqueName="[OfficeForms Table].[ชำระโดย]" caption="ชำระโดย" attribute="1" defaultMemberUniqueName="[OfficeForms Table].[ชำระโดย].[All]" allUniqueName="[OfficeForms Table].[ชำระโดย].[All]" dimensionUniqueName="[OfficeForms Table]" displayFolder="" count="0" memberValueDatatype="130" unbalanced="0"/>
    <cacheHierarchy uniqueName="[OfficeForms Table].[ต้อง Adjust หรือ คืนเงินลูกค้าทางช่องทางใด]" caption="ต้อง Adjust หรือ คืนเงินลูกค้าทางช่องทางใด" attribute="1" defaultMemberUniqueName="[OfficeForms Table].[ต้อง Adjust หรือ คืนเงินลูกค้าทางช่องทางใด].[All]" allUniqueName="[OfficeForms Table].[ต้อง Adjust หรือ คืนเงินลูกค้าทางช่องทางใด].[All]" dimensionUniqueName="[OfficeForms Table]" displayFolder="" count="0" memberValueDatatype="130" unbalanced="0"/>
    <cacheHierarchy uniqueName="[OfficeForms Table].[ชื่อรายการที่ต้องคืน และมูลค่า (รวม VAT)]" caption="ชื่อรายการที่ต้องคืน และมูลค่า (รวม VAT)" attribute="1" defaultMemberUniqueName="[OfficeForms Table].[ชื่อรายการที่ต้องคืน และมูลค่า (รวม VAT)].[All]" allUniqueName="[OfficeForms Table].[ชื่อรายการที่ต้องคืน และมูลค่า (รวม VAT)].[All]" dimensionUniqueName="[OfficeForms Table]" displayFolder="" count="0" memberValueDatatype="130" unbalanced="0"/>
    <cacheHierarchy uniqueName="[OfficeForms Table].[วันที่เกิดเหตุ (Month)]" caption="วันที่เกิดเหตุ (Month)" attribute="1" defaultMemberUniqueName="[OfficeForms Table].[วันที่เกิดเหตุ (Month)].[All]" allUniqueName="[OfficeForms Table].[วันที่เกิดเหตุ (Month)].[All]" dimensionUniqueName="[OfficeForms Table]" displayFolder="" count="2" memberValueDatatype="130" unbalanced="0">
      <fieldsUsage count="2">
        <fieldUsage x="-1"/>
        <fieldUsage x="2"/>
      </fieldsUsage>
    </cacheHierarchy>
    <cacheHierarchy uniqueName="[OfficeForms Table].[วันที่เกิดเหตุ (Month Index)]" caption="วันที่เกิดเหตุ (Month Index)" attribute="1" defaultMemberUniqueName="[OfficeForms Table].[วันที่เกิดเหตุ (Month Index)].[All]" allUniqueName="[OfficeForms Table].[วันที่เกิดเหตุ (Month Index)].[All]" dimensionUniqueName="[OfficeForms Table]" displayFolder="" count="0" memberValueDatatype="20" unbalanced="0" hidden="1"/>
    <cacheHierarchy uniqueName="[Measures].[__XL_Count OfficeForms Table]" caption="__XL_Count OfficeForms Table" measure="1" displayFolder="" measureGroup="OfficeForms Table" count="0" hidden="1"/>
    <cacheHierarchy uniqueName="[Measures].[__No measures defined]" caption="__No measures defined" measure="1" displayFolder="" count="0" hidden="1"/>
    <cacheHierarchy uniqueName="[Measures].[Sum of Id]" caption="Sum of Id" measure="1" displayFolder="" measureGroup="OfficeForms 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OfficeForms Table" count="0" oneField="1" hidden="1">
      <fieldsUsage count="1">
        <fieldUsage x="4"/>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fficeForms Table" uniqueName="[OfficeForms Table]" caption="OfficeForms Table"/>
  </dimensions>
  <measureGroups count="1">
    <measureGroup name="OfficeForms Table" caption="OfficeForms 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n v="1"/>
    <d v="2025-06-08T21:50:04"/>
    <d v="2025-06-08T21:56:52"/>
    <s v="anonymous"/>
    <n v="0"/>
    <x v="0"/>
    <d v="2025-06-05T00:00:00"/>
    <s v="Peanut HN.7394"/>
    <s v="Chue shwe yi anug"/>
    <s v="0817159074"/>
    <n v="0"/>
    <x v="0"/>
    <x v="0"/>
    <s v="กล่าวขอโทษ และเสนอส่งยาทาแผลให้ เจ้าของไม่ติดใจเอาความ ยังมียาเหลือที่เคยได้รับรอบก่อน จะลองทาดู"/>
    <s v="1022"/>
    <s v="0114 (ปาน รุ่งทิวา)"/>
    <n v="0"/>
    <n v="0"/>
    <n v="0"/>
    <n v="0"/>
    <n v="0"/>
    <n v="0"/>
    <s v="การดูแล/รักษาผู้ป่วย - OR"/>
    <m/>
    <m/>
  </r>
  <r>
    <n v="2"/>
    <d v="2025-06-18T13:33:15"/>
    <d v="2025-06-18T13:38:11"/>
    <s v="anonymous"/>
    <n v="0"/>
    <x v="1"/>
    <d v="2025-06-05T00:00:00"/>
    <s v="11514"/>
    <s v="สุทธิวาท สุวรรณกุลรัตน์"/>
    <s v="0811425004"/>
    <n v="0"/>
    <x v="1"/>
    <x v="1"/>
    <s v="ต้องแจ้งความเป็นไปได้เรื่องผลตรวจ false positive ไม่ใช่ไปแจ้งการันตีว่าผลถูกต้อง"/>
    <s v="0191"/>
    <s v="หมอนะโม หมอเท็น ตองฟร้อน แป้งฟร้อน"/>
    <n v="0"/>
    <n v="0"/>
    <n v="0"/>
    <n v="0"/>
    <n v="0"/>
    <n v="0"/>
    <s v="การสื่อสารด้าน Cliinical"/>
    <m/>
    <m/>
  </r>
  <r>
    <n v="3"/>
    <d v="2025-06-02T12:32:48"/>
    <d v="2025-06-02T12:35:10"/>
    <s v="anonymous"/>
    <n v="0"/>
    <x v="2"/>
    <d v="2025-06-02T00:00:00"/>
    <s v="Ellie 9901"/>
    <s v="AM เจ้าของฝากมา"/>
    <s v="-"/>
    <n v="0"/>
    <x v="2"/>
    <x v="2"/>
    <n v="0"/>
    <n v="0"/>
    <n v="0"/>
    <n v="0"/>
    <n v="0"/>
    <n v="0"/>
    <n v="0"/>
    <n v="0"/>
    <n v="0"/>
    <s v="การสื่อสารด้าน Non-Clinical"/>
    <m/>
    <m/>
  </r>
  <r>
    <n v="4"/>
    <d v="2025-06-06T20:15:25"/>
    <d v="2025-06-06T20:17:16"/>
    <s v="anonymous"/>
    <n v="0"/>
    <x v="2"/>
    <d v="2025-06-06T00:00:00"/>
    <s v="11317 Buhey"/>
    <s v="...."/>
    <s v="...."/>
    <n v="0"/>
    <x v="2"/>
    <x v="3"/>
    <s v="เติมเวลาให้ตอนแจ้งนัด"/>
    <s v="0000"/>
    <s v="...."/>
    <n v="0"/>
    <n v="0"/>
    <n v="0"/>
    <n v="0"/>
    <n v="0"/>
    <n v="0"/>
    <s v="การสื่อสารด้าน Non-Clinical"/>
    <m/>
    <m/>
  </r>
  <r>
    <n v="5"/>
    <d v="2025-06-06T20:17:24"/>
    <d v="2025-06-06T20:18:51"/>
    <s v="anonymous"/>
    <n v="0"/>
    <x v="2"/>
    <d v="2025-06-06T00:00:00"/>
    <s v="12069"/>
    <s v="..."/>
    <s v="0000"/>
    <n v="0"/>
    <x v="2"/>
    <x v="4"/>
    <s v="แจ้ง SMS เองภายหลัง"/>
    <s v="..."/>
    <s v="..."/>
    <n v="0"/>
    <n v="0"/>
    <n v="0"/>
    <n v="0"/>
    <n v="0"/>
    <n v="0"/>
    <s v="การสื่อสารด้าน Non-Clinical"/>
    <s v="ปิดเคส - neutral"/>
    <d v="2025-06-06T00:00:00"/>
  </r>
  <r>
    <n v="6"/>
    <d v="2025-06-06T20:19:09"/>
    <d v="2025-06-06T20:19:36"/>
    <s v="anonymous"/>
    <n v="0"/>
    <x v="2"/>
    <d v="2025-06-06T00:00:00"/>
    <s v="12070"/>
    <s v="."/>
    <s v="000"/>
    <n v="0"/>
    <x v="2"/>
    <x v="4"/>
    <s v="แจ้ง SMS ให้ภายหลัง"/>
    <s v="."/>
    <s v="."/>
    <n v="0"/>
    <n v="0"/>
    <n v="0"/>
    <n v="0"/>
    <n v="0"/>
    <n v="0"/>
    <s v="การสื่อสารด้าน Non-Clinical"/>
    <s v="ปิดเคส - neutral"/>
    <d v="2025-06-06T00:00:00"/>
  </r>
  <r>
    <n v="7"/>
    <d v="2025-06-08T13:01:13"/>
    <d v="2025-06-08T13:15:59"/>
    <s v="anonymous"/>
    <n v="0"/>
    <x v="2"/>
    <d v="2025-06-04T00:00:00"/>
    <s v="BP 409"/>
    <s v="ศิริพัชร มหากิจศิริ  (149)"/>
    <s v="081-819-9911"/>
    <n v="0"/>
    <x v="2"/>
    <x v="5"/>
    <s v="โทรไปรับฟัง และขอโทษ ครั้งหน้าถ้ามาใช้บริการขอไม่คิดค่าบริการ"/>
    <s v="0190 ส้มโอ"/>
    <s v="ไม่ทราบ"/>
    <n v="0"/>
    <n v="0"/>
    <n v="0"/>
    <n v="0"/>
    <n v="0"/>
    <n v="0"/>
    <s v="การสื่อสารด้าน Non-Clinical"/>
    <s v="ปิดเคส - neutral"/>
    <d v="2025-06-06T00:00:00"/>
  </r>
  <r>
    <n v="8"/>
    <d v="2025-06-08T13:18:20"/>
    <d v="2025-06-08T13:25:37"/>
    <s v="anonymous"/>
    <n v="0"/>
    <x v="2"/>
    <d v="2025-06-08T00:00:00"/>
    <s v="คุมะ (1200)"/>
    <s v=" สิริกาญจน์ เลิศอริยวรกุล  (850)"/>
    <s v="081 571 3116"/>
    <n v="0"/>
    <x v="2"/>
    <x v="6"/>
    <s v="ทางเจ้าหน้าที่FrontสาขาPH รับเรื่องไว้ให้ เพราะลูกค้าแจ้งแค่ว่าฝากด้วยนะคะ (โอโทรไปสอบถามเพิ่มเติม มีเรื่องของยา 3 ซองที่ไม่มีการอธิบายและแจ้ง , ใบนัดไม่มี Frontต้องโทรขึ้นไปถามด้านบนIPD อีกรอบ , หมอที่Ward ถามว่ามีอะไรจะถามไหม? , Line ไม่มีการคุยกัน รอการตอบกลับนานมาก เนื่องจากยาน้องหมดซึ่งเป็นยาปฎิชีวนะ แต่ดันมาถามชื่อยากลับ มีชื่นชมน้องFront มีService mindที่ดี คือ น้องบอส และน้องจ๋า"/>
    <s v="0251 ตอง"/>
    <s v="ไม่ทราบ"/>
    <n v="0"/>
    <n v="0"/>
    <n v="0"/>
    <n v="0"/>
    <n v="0"/>
    <n v="0"/>
    <s v="การสื่อสารด้าน Non-Clinical"/>
    <s v="ปิดเคส - neutral"/>
    <d v="2025-06-04T00:00:00"/>
  </r>
  <r>
    <n v="9"/>
    <d v="2025-06-09T17:22:54"/>
    <d v="2025-06-09T17:30:06"/>
    <s v="anonymous"/>
    <n v="0"/>
    <x v="2"/>
    <d v="2025-06-09T00:00:00"/>
    <s v="ไรวินท์ 8784"/>
    <s v="คุณภิญญดา กิจวณิชกุล"/>
    <s v="0955262451"/>
    <n v="0"/>
    <x v="2"/>
    <x v="7"/>
    <s v="โทรไปรับฟัง และขอโทษ เสนอหมอท่านอื่นให้ แต่ลูกค้าบอกว่าอะไรที่ต้องใช้เข็มเจาะ จะไม่มาที่นี่แล้ว ขอไปหาที่อื่นดีกว่า มาหาแค่หมอกายภาพ กับหมอกระดูกพอ"/>
    <s v="0190 ส้มโอ"/>
    <s v="หมอEVE และเนยOPD"/>
    <n v="0"/>
    <n v="0"/>
    <n v="0"/>
    <n v="0"/>
    <n v="0"/>
    <n v="0"/>
    <s v="การสื่อสารด้าน Non-Clinical"/>
    <s v="ปิดเคส - neutral"/>
    <d v="2025-06-08T00:00:00"/>
  </r>
  <r>
    <n v="10"/>
    <d v="2025-06-11T10:25:12"/>
    <d v="2025-06-11T10:29:09"/>
    <s v="anonymous"/>
    <n v="0"/>
    <x v="2"/>
    <d v="2025-06-10T00:00:00"/>
    <s v="ไข่ตุ๋น (4907)"/>
    <s v="คุณวศุมา คณาชนะวชัชย์  (3534)"/>
    <s v=" 090 514 5555"/>
    <n v="0"/>
    <x v="3"/>
    <x v="8"/>
    <s v="Front รับเรื่องแจ้งให้หมอAL ติดต่อกลับวันที่11/6/68"/>
    <s v="0190 ส้มโอ"/>
    <s v="หมอPAN + Front แพรวา"/>
    <n v="0"/>
    <n v="0"/>
    <n v="0"/>
    <n v="0"/>
    <n v="0"/>
    <n v="0"/>
    <s v="การดูแล/รักษาผู้ป่วย - OPD"/>
    <s v="ปิดเคส - neutral"/>
    <d v="2025-06-09T00:00:00"/>
  </r>
  <r>
    <n v="11"/>
    <d v="2025-06-11T14:18:31"/>
    <d v="2025-06-11T14:24:41"/>
    <s v="anonymous"/>
    <n v="0"/>
    <x v="2"/>
    <d v="2025-06-11T00:00:00"/>
    <s v="โซดา (11110)"/>
    <s v=" สุภาภรณ์ สุธรรมโกศล  (7929)"/>
    <s v="081 995 4388"/>
    <n v="0"/>
    <x v="1"/>
    <x v="9"/>
    <s v="ขอโทษ และนัดกลับให้เป็นเวลาเดิม และโทรไปแจ้งหมอ ให้หมอเลื่อนนัดนัดลูกค้าของหมอแทน"/>
    <s v="0190 ส้มโอ"/>
    <s v="หมอGIF+OPD เนย"/>
    <n v="0"/>
    <n v="0"/>
    <n v="0"/>
    <n v="0"/>
    <n v="0"/>
    <n v="0"/>
    <s v="การสื่อสารด้าน Cliinical"/>
    <s v="ปิดเคส - negative"/>
    <d v="2025-06-11T00:00:00"/>
  </r>
  <r>
    <n v="12"/>
    <d v="2025-06-13T16:14:11"/>
    <d v="2025-06-13T16:18:07"/>
    <s v="anonymous"/>
    <n v="0"/>
    <x v="2"/>
    <d v="2025-06-08T00:00:00"/>
    <s v="ทองหยิบ"/>
    <s v="คุณวิระยา ฐิติเวส"/>
    <s v="0893655954"/>
    <n v="0"/>
    <x v="2"/>
    <x v="10"/>
    <s v="ต้องย้ำกับทางลูกค้าอีกครั้งก่อนจ่ายยาว่ามีแพ้ยาแพ้อาหารอะไรไหม และยืนยันกับทางคุณหมอ"/>
    <s v="0039"/>
    <s v="Rodsukon Lakorn"/>
    <n v="0"/>
    <n v="0"/>
    <n v="0"/>
    <n v="0"/>
    <n v="0"/>
    <n v="0"/>
    <s v="การสื่อสารด้าน Non-Clinical"/>
    <s v="ปิดเคส - neutral"/>
    <d v="2025-06-11T00:00:00"/>
  </r>
  <r>
    <n v="13"/>
    <d v="2025-06-14T22:20:25"/>
    <d v="2025-06-14T22:31:32"/>
    <s v="anonymous"/>
    <n v="0"/>
    <x v="2"/>
    <d v="2025-06-14T00:00:00"/>
    <s v="12479"/>
    <s v="พรทิพย์ แช่โกว"/>
    <s v="0949646649"/>
    <n v="0"/>
    <x v="4"/>
    <x v="11"/>
    <s v="รอบหน้าถ้ามันช้าที่อะไรก้ควรบอกหน่อยหรือแจ้งกลับหน่อย ไม่ใช่ให้ทางหน้างานเคลียปัญหากันเองโดยที่ไม่รุ้ว่าต้นเหตุความช้าคืออะไร ส่งเคสไปผ่านpettaxi แต่ละทีมีปัญหาตลอด"/>
    <n v="191"/>
    <s v="แป้ง หมอหลิน หมอเท็น พี่ตี๋pettaxi หมอมิ้ม หมออาม พยาบาลเนย"/>
    <n v="0"/>
    <n v="0"/>
    <n v="0"/>
    <n v="0"/>
    <n v="0"/>
    <n v="0"/>
    <s v="การจ่ายยา"/>
    <s v="ปิดเคส - neutral"/>
    <d v="2025-06-08T00:00:00"/>
  </r>
  <r>
    <n v="14"/>
    <d v="2025-06-15T12:33:32"/>
    <d v="2025-06-15T12:40:39"/>
    <s v="anonymous"/>
    <n v="0"/>
    <x v="2"/>
    <d v="2025-06-14T00:00:00"/>
    <s v="Lou (6113)"/>
    <s v="Andrea Bennett  (4383)"/>
    <s v="093 285 4436"/>
    <n v="0"/>
    <x v="5"/>
    <x v="12"/>
    <s v="หมอAL โทรไปคุย - สื่อสารผิดพลาดเรื่องเวลานัด (คราวที่แล้วไปถึง 11.30 , จนท มาบอกว่าเวลานัดคือ 8pm??)  - May ดูไม่เข้าใจว่าจะให้ตรวจอะไร (คิดว่าน่าจะ miscommunication) - Bruise on back leg (อธิบายไปแล้วว่า เจาะเลือดเยอะมาก หมาตัวเล็กและอาจจะดื้นด้วย ซึ่งแต่ละตัว แต่ละหมอ แต่ละวัน ความยากง่ายในการเจาะอาจไม่เหมือนกัน) - บอกให้กลับมาพรุ่งนี้ถ้าเป็นอะไร -  บ้านไกล ไม่มีเวลากลับมาหรอก - ไม่มีใครมาตรวจให้ก่อนกลับ - ขอโทษ จข ให้แล้ว - Mos คุยภาษาอังกฤษไม่ค่อยเก่ง - บอกไปว่าหมอแต่ละคนก็อาจจะพูดได้ไม่เท่ากัน แต่ทุกคนก็พยายามจะสื่อสารให้ได้ละเอียดและถูกต้องที่สุด พฤหัสหน้าจะพยายามหาคนไปช่วยสื่อสารให้  *** ตรวจเลือดอาทิตย์หน้ายกเลิกไปก่อน ตอนแรกจะตรวจ thyroid - ดูไม่ urgent . ให้ขามันได้พักก่อนดีกว่า ส่วนเรื่อง รอยช้ำ แนะนำ ประคบเย็น 10 นาที/ ข้าง ทุกๆ 6-12 ชั่วโมง รอยช้ำจะค่อยๆดีขึ้นใน 5-6วัน ผลเลือด platelet ปกติ จึงคิดว่าน่าจะเป็นมาจาก trauma ตอนเจาะเลือดมากกว่าปัญหาเรื่อง clotting  AL ให้ จข ส่งภาพขา มาอัพเดท ทุก 1-2 วัน จะได้คอยติดตามอาการให้ ว่าต้องเพิ่มการรักษาอื่นๆมั้ย วันพุธหน้า ถ้าขายังช้ำอยู่ จะยกเลิกกายภาพไปก่อน รอให้หายช้ำก่อน"/>
    <s v="0190 ส้มโอ"/>
    <s v="หมอMAY"/>
    <n v="0"/>
    <n v="0"/>
    <n v="0"/>
    <n v="0"/>
    <n v="0"/>
    <n v="0"/>
    <s v="การประสานงานภายใน"/>
    <s v="ปิดเคส - negative"/>
    <d v="2025-06-16T00:00:00"/>
  </r>
  <r>
    <n v="16"/>
    <d v="2025-06-15T16:48:50"/>
    <d v="2025-06-15T17:15:26"/>
    <s v="anonymous"/>
    <n v="0"/>
    <x v="2"/>
    <d v="2025-06-15T00:00:00"/>
    <s v="วินเซนต์ (12543)"/>
    <s v="Nat Jakpaisan(8943)"/>
    <s v="089 519 2222"/>
    <n v="0"/>
    <x v="3"/>
    <x v="13"/>
    <s v="โอโทรคุยกับเจ้าของรับฟัง ขอโทษกับการบริการครั้งนี้ และไม่คิดค่าใช้จ่าย แจ้งว่าให้มาฝังไมโครชิพครั้งหน้า ให้แผลน้องหายก่อน เจ้าของขอคิดดูก่อน เพราะรู้สึกไม่ไว้ใจหมอของรพ.เราแล้ว(มีพี่ฝน(พันธ์) ) ที่ดูแผลให้น้อง และเช็ดเลือดให้ เจ้าของฝากเรื่องนี้ให้ทีมแพทย์พิจารณาว่าจะจัดการเรื่องนี้ยังไง"/>
    <s v="0190 ส้มโอ"/>
    <s v="หมอSAN , OPDเพื่อน , พี่ฝน(พันธ์)"/>
    <n v="0"/>
    <n v="0"/>
    <n v="0"/>
    <n v="0"/>
    <n v="0"/>
    <n v="0"/>
    <s v="การดูแล/รักษาผู้ป่วย - OPD"/>
    <s v="ปิดเคส - negative"/>
    <d v="2025-06-14T00:00:00"/>
  </r>
  <r>
    <n v="18"/>
    <d v="2025-06-18T16:41:57"/>
    <d v="2025-06-18T16:48:04"/>
    <s v="anonymous"/>
    <n v="0"/>
    <x v="2"/>
    <d v="2025-06-15T00:00:00"/>
    <s v="วินเซนต์ 12543"/>
    <s v="Nat Jakpaisan  (8943)"/>
    <s v="+66 89 519 2222"/>
    <n v="0"/>
    <x v="3"/>
    <x v="14"/>
    <s v="ควรตรวจสอบวิธีการใช้งานหรือสอบถามทางเจ้าหน้าที่ก่อนการทำ Microchip"/>
    <s v="0039"/>
    <s v="ปัด ห้องยาทองหล่อ"/>
    <n v="0"/>
    <n v="0"/>
    <n v="0"/>
    <n v="0"/>
    <n v="0"/>
    <n v="0"/>
    <s v="การดูแล/รักษาผู้ป่วย - OPD"/>
    <s v="ปิดเคส - neutral"/>
    <m/>
  </r>
  <r>
    <n v="19"/>
    <d v="2025-06-24T11:00:34"/>
    <d v="2025-06-24T11:03:47"/>
    <s v="anonymous"/>
    <n v="0"/>
    <x v="2"/>
    <d v="2025-06-24T00:00:00"/>
    <s v="จิมมี่ 12580"/>
    <s v="นันทพร กุดหินนอก"/>
    <s v="0806088317"/>
    <n v="0"/>
    <x v="3"/>
    <x v="15"/>
    <s v="ควรทวนและเช็คน้ำหนักก่อนจ่ายยา"/>
    <s v="0039"/>
    <s v="มิน ไอซ์ ปิ่น วุ้น"/>
    <n v="0"/>
    <n v="0"/>
    <n v="0"/>
    <n v="0"/>
    <n v="0"/>
    <n v="0"/>
    <s v="การดูแล/รักษาผู้ป่วย - OPD"/>
    <s v="ปิดเคส - negative"/>
    <m/>
  </r>
  <r>
    <n v="20"/>
    <d v="2025-06-24T23:59:22"/>
    <d v="2025-06-25T00:03:22"/>
    <s v="anonymous"/>
    <n v="0"/>
    <x v="2"/>
    <d v="2025-06-22T00:00:00"/>
    <s v="เดวิว"/>
    <s v="วราพร"/>
    <s v="0957743335"/>
    <n v="0"/>
    <x v="4"/>
    <x v="16"/>
    <n v="0"/>
    <s v="0191"/>
    <s v="หมอเหมียว โยฟร้อน"/>
    <n v="0"/>
    <n v="0"/>
    <n v="0"/>
    <n v="0"/>
    <n v="0"/>
    <n v="0"/>
    <s v="การจ่ายยา"/>
    <s v="ปิดเคส - neutral"/>
    <m/>
  </r>
  <r>
    <n v="21"/>
    <d v="2025-06-30T17:01:37"/>
    <d v="2025-06-30T17:06:53"/>
    <s v="anonymous"/>
    <n v="0"/>
    <x v="2"/>
    <d v="2025-06-30T00:00:00"/>
    <s v="Melo"/>
    <s v="K.Nanthinee"/>
    <s v="0918265665"/>
    <n v="0"/>
    <x v="5"/>
    <x v="17"/>
    <s v="แจ้งลูกค้าอีก1 ชั่วโมงหมอผ่าตัดจะสะดวกคุยด้วยตอนนี้ติดผ่าตัดอยู่ ให้หมอIPDแจ้งอาการเบื้องต้นไปก่อน(หมอรับปากแต่ไม่ได้แจ้ง)"/>
    <s v="0219"/>
    <s v="พันธ์ บุญเชิด"/>
    <n v="0"/>
    <n v="0"/>
    <n v="0"/>
    <n v="0"/>
    <n v="0"/>
    <n v="0"/>
    <s v="การประสานงานภายใน"/>
    <s v="ปิดเคส - neutral"/>
    <d v="2025-06-22T00:00:00"/>
  </r>
  <r>
    <n v="22"/>
    <d v="2025-07-03T20:27:12"/>
    <d v="2025-07-03T20:33:18"/>
    <s v="anonymous"/>
    <n v="0"/>
    <x v="2"/>
    <d v="2025-06-26T00:00:00"/>
    <s v="จูลเลียน (12925)"/>
    <s v=" ปัณณพร พิชิตวัฒนา  (9207)"/>
    <s v="088 954 1664"/>
    <n v="0"/>
    <x v="2"/>
    <x v="18"/>
    <s v="รับเรื่องแจ้งเจ้าหน้าที่ที่เกี่ยวข้อง โทรคุยกับลูกค้าแล้วพร้อมอธิบายรายการค่าใช้จ่ายและสาเหตุที่คุณหมอต้องทำ 2 Part คนไข้เข้าใจเรียบร้อยค่ะ บิลรายละเอียดของเราดูยากค่ะ ทำให้ไม่เข้าใจ"/>
    <s v="-"/>
    <s v="แพรวา-Front"/>
    <n v="0"/>
    <n v="0"/>
    <n v="0"/>
    <n v="0"/>
    <n v="0"/>
    <n v="0"/>
    <s v="การสื่อสารด้าน Non-Clinical"/>
    <s v="ปิดเคส - neutral"/>
    <m/>
  </r>
  <r>
    <n v="23"/>
    <d v="2025-07-03T20:07:13"/>
    <d v="2025-07-03T20:33:22"/>
    <s v="anonymous"/>
    <n v="0"/>
    <x v="2"/>
    <d v="2025-06-26T00:00:00"/>
    <s v="จูลเลียน (12925)"/>
    <s v=" ปัณณพร พิชิตวัฒนา  (9207)"/>
    <s v="088 954 1664"/>
    <n v="0"/>
    <x v="1"/>
    <x v="19"/>
    <s v="แจ้งบัญชีทำเรื่องคืนเงินในระบบ แจ้งลูกค้าเรื่องทำแจ้งคืนเงิน ลูกค้าให้ใส่เป็น Credit ในระบบทิ้งไว้ค่ะ"/>
    <s v="-"/>
    <s v="แพรวา-Front"/>
    <n v="0"/>
    <n v="0"/>
    <n v="0"/>
    <n v="0"/>
    <n v="0"/>
    <n v="0"/>
    <s v="การสื่อสารด้าน Cliinical"/>
    <s v="ปิดเคส - positive"/>
    <d v="2025-06-26T00:00:00"/>
  </r>
  <r>
    <n v="24"/>
    <d v="2025-07-04T13:12:30"/>
    <d v="2025-07-04T13:13:26"/>
    <s v="anonymous"/>
    <n v="0"/>
    <x v="2"/>
    <d v="2025-06-30T00:00:00"/>
    <s v="SeeNin"/>
    <s v="AM"/>
    <s v="0831677088"/>
    <n v="0"/>
    <x v="5"/>
    <x v="20"/>
    <n v="0"/>
    <s v="1001"/>
    <s v="-"/>
    <n v="0"/>
    <n v="0"/>
    <n v="0"/>
    <n v="0"/>
    <n v="0"/>
    <n v="0"/>
    <s v="การประสานงานภายใน"/>
    <s v="ปิดเคส - positive"/>
    <d v="2025-06-26T00:00:00"/>
  </r>
  <r>
    <n v="25"/>
    <d v="2025-07-14T18:08:54"/>
    <d v="2025-07-14T18:15:18"/>
    <s v="anonymous"/>
    <n v="0"/>
    <x v="3"/>
    <d v="2025-07-14T00:00:00"/>
    <s v="Kotja 13348"/>
    <s v="จิดาภา โลหะนวกุล"/>
    <s v="0842535137"/>
    <n v="0"/>
    <x v="6"/>
    <x v="21"/>
    <n v="0"/>
    <s v="1044"/>
    <s v="นายเด่นพงศ์ สุขมาก (ฟร้อนที่รับเรื่องหน้างาน)"/>
    <n v="0"/>
    <n v="0"/>
    <n v="0"/>
    <n v="0"/>
    <n v="0"/>
    <n v="0"/>
    <m/>
    <s v="ปิดเคส - neutral"/>
    <m/>
  </r>
  <r>
    <n v="15"/>
    <d v="2025-06-15T12:43:12"/>
    <d v="2025-06-15T12:47:37"/>
    <s v="anonymous"/>
    <n v="0"/>
    <x v="4"/>
    <d v="2025-06-14T00:00:00"/>
    <s v="Naka (นากะ) (7184)"/>
    <s v="Chansik Ko  (896)"/>
    <s v="061 175 4115"/>
    <n v="0"/>
    <x v="7"/>
    <x v="22"/>
    <s v="Adminตอง ทำการแจ้งขอโทษไปทางLine ว่า ขอขอบคุณสำหรับข้อความของคุณ และต้องขออภัยอย่างสูงสำหรับความไม่สะดวกและความเข้าใจที่คลาดเคลื่อนในการเข้ารับบริการในครั้งนี้  เราเข้าใจถึงความรู้สึกผิดหวังของคุณเป็นอย่างดี และเสียใจที่การนัดหมายในครั้งนี้ไม่ได้เป็นไปตามที่คาดหวังไว้ เดิมทีการนัดหมายกับคุณหมอทั่วไปมีวัตถุประสงค์เพื่อประเมินเบื้องต้นและช่วยประสานงานกับคุณหมอเฉพาะทางด้านทันตกรรม แต่เรายอมรับว่ามีข้อผิดพลาดในการสื่อสารที่ชัดเจน และขออภัยมา ณ ที่นี้ ทางเราจะแจ้งผู้จัดการเพื่อรับทราบและติดต่อกลับไปอย่างเร็วที่สุด"/>
    <s v="0190 ส้มโอ"/>
    <s v="ไม่ทราบ"/>
    <n v="0"/>
    <n v="0"/>
    <n v="0"/>
    <n v="0"/>
    <n v="0"/>
    <n v="0"/>
    <s v="การประเมินราคา"/>
    <m/>
    <m/>
  </r>
  <r>
    <n v="26"/>
    <d v="2025-07-21T07:49:22"/>
    <d v="2025-07-21T07:53:46"/>
    <s v="anonymous"/>
    <n v="0"/>
    <x v="2"/>
    <d v="2025-07-21T00:00:00"/>
    <s v="ฟักทอง 13805"/>
    <s v="สิรวีร์"/>
    <s v="0655989891"/>
    <n v="0"/>
    <x v="3"/>
    <x v="23"/>
    <s v="เช็คการเข้าพักของห้องพักมีห้องว่างให้เจ้าของย้ายห้องค่ะ"/>
    <s v="0081"/>
    <s v="โบนุช "/>
    <n v="0"/>
    <n v="0"/>
    <n v="0"/>
    <n v="0"/>
    <n v="0"/>
    <n v="0"/>
    <s v="การดูแล/รักษาผู้ป่วย - OPD"/>
    <m/>
    <m/>
  </r>
  <r>
    <n v="27"/>
    <d v="2025-07-25T17:43:04"/>
    <d v="2025-07-25T17:49:24"/>
    <s v="anonymous"/>
    <n v="0"/>
    <x v="2"/>
    <d v="2025-07-17T00:00:00"/>
    <s v="บาลู"/>
    <s v="POL และ บุ๊คห้องยา"/>
    <s v="0935295359"/>
    <n v="0"/>
    <x v="5"/>
    <x v="24"/>
    <s v="1. กระตุ้นอาเจียน 2. ป้อน charcoal 3. ให้น้ำเกลือ 4. ตรวจเลือด CBC+ALT sid เพื่อ monitor myelosuppression และ hepatotoxic 5. admit ICU ดูอาการ 7-14 วัน เนื่องจาก side effect อาจ delayed ยาวนานได้ถึง 14 วัน"/>
    <s v="3350"/>
    <s v="พยาบาลโบว์"/>
    <n v="0"/>
    <n v="0"/>
    <n v="0"/>
    <n v="0"/>
    <n v="0"/>
    <n v="0"/>
    <s v="การประสานงานภายใน"/>
    <s v="ปิดเคส - neutral"/>
    <d v="2025-07-21T00:00:00"/>
  </r>
  <r>
    <n v="28"/>
    <d v="2025-07-28T22:27:39"/>
    <d v="2025-07-28T22:33:01"/>
    <s v="anonymous"/>
    <n v="0"/>
    <x v="2"/>
    <d v="2025-07-26T00:00:00"/>
    <s v="มะขาม ไข่ตุ๋น"/>
    <s v="ภานุภัทท์"/>
    <s v="0958482960"/>
    <n v="0"/>
    <x v="4"/>
    <x v="25"/>
    <s v="ขอโทษลูกค้า และเก็บตามที่หมอแจ้ง"/>
    <s v="."/>
    <s v="บอส"/>
    <n v="0"/>
    <n v="0"/>
    <n v="0"/>
    <n v="0"/>
    <n v="0"/>
    <n v="0"/>
    <s v="การจ่ายยา"/>
    <s v="ปิดเคส - neutral"/>
    <d v="2025-07-25T00:00:00"/>
  </r>
  <r>
    <n v="29"/>
    <d v="2025-07-29T09:48:35"/>
    <d v="2025-07-29T10:02:20"/>
    <s v="anonymous"/>
    <n v="0"/>
    <x v="2"/>
    <d v="2025-07-29T00:00:00"/>
    <s v="Vino (7813)"/>
    <s v="คุณอภิชญา บวรเศรษฐนันท์ (5600)"/>
    <s v="081-8293739"/>
    <n v="0"/>
    <x v="2"/>
    <x v="26"/>
    <s v="Front แจ้งลูกค้าว่าหมอติดเคสหนักที่Ward อยู่ เดี๋ยวมีหมออีกท่านมา8 โมง"/>
    <s v="0190"/>
    <s v="Front ธันน์ VET หมอSY"/>
    <n v="0"/>
    <n v="0"/>
    <n v="0"/>
    <n v="0"/>
    <n v="0"/>
    <n v="0"/>
    <s v="การสื่อสารด้าน Non-Clinical"/>
    <s v="ปิดเคส - neutral"/>
    <d v="2025-07-26T00:00:00"/>
  </r>
  <r>
    <n v="30"/>
    <d v="2025-07-30T15:13:40"/>
    <d v="2025-07-30T15:17:30"/>
    <s v="anonymous"/>
    <n v="0"/>
    <x v="3"/>
    <d v="2025-07-18T00:00:00"/>
    <s v="กุชชี่ 13558"/>
    <s v="จิดาภา โลหะนวกุล"/>
    <s v="0842535137"/>
    <n v="0"/>
    <x v="3"/>
    <x v="27"/>
    <s v="โทรแจ้งลูกค้าและขอโทษ เสนอทางเลือกเก็บเป็น credit ไว้ซึ่งเจ้าของตกลง ในอนาคตต้องมีความระมัดระวังเรื่องการคีย์คำสั่งข้อมูลให้มากกว่านี้ ตอนนี้ทำ memo ส่งทางบัญชีแล้วค่ะ"/>
    <s v="1044"/>
    <s v="จิดาภา"/>
    <n v="0"/>
    <n v="0"/>
    <n v="0"/>
    <n v="0"/>
    <n v="0"/>
    <n v="0"/>
    <s v="การดูแล/รักษาผู้ป่วย - OPD"/>
    <s v="ปิดเคส - negative"/>
    <d v="2025-07-29T00:00:00"/>
  </r>
  <r>
    <n v="31"/>
    <d v="2025-07-30T16:53:09"/>
    <d v="2025-07-30T16:56:14"/>
    <s v="anonymous"/>
    <n v="0"/>
    <x v="3"/>
    <d v="2025-07-29T00:00:00"/>
    <s v="นมสด 14145"/>
    <s v="คุณอนัญญา"/>
    <s v="0960505662"/>
    <n v="0"/>
    <x v="8"/>
    <x v="28"/>
    <s v="ให้ยากินเบื้องต้นและให้ใบรับรองแพทย์ที่ตรวจแล็บไป แนะนำให้ไปรักษาต่อคลินิกใกล้บ้านหรือที่ที่ลูกค้ารับราคาไหว"/>
    <s v="จิดาภา 1044"/>
    <s v="หมอ JL และพยาบาลแมว พยาบาลตี๋"/>
    <n v="0"/>
    <n v="0"/>
    <n v="0"/>
    <n v="0"/>
    <n v="0"/>
    <n v="0"/>
    <s v="การตรวจวิเคราะห์ทางห้องปฏิบัติการภายนอกโรงพยาบาล"/>
    <m/>
    <m/>
  </r>
  <r>
    <n v="33"/>
    <d v="2025-08-03T15:35:32"/>
    <d v="2025-08-03T17:08:04"/>
    <s v="anonymous"/>
    <n v="0"/>
    <x v="3"/>
    <d v="2025-08-02T00:00:00"/>
    <s v="Lily 10804"/>
    <s v="จิดาภา โลหะนวกุล"/>
    <s v="0842535137"/>
    <n v="0"/>
    <x v="9"/>
    <x v="29"/>
    <n v="0"/>
    <s v="1044"/>
    <s v="หมอ JR, ฟร้อนโม"/>
    <s v="ต้อง"/>
    <s v="41250004369"/>
    <n v="0"/>
    <n v="0"/>
    <n v="0"/>
    <s v="โอนเงินสดคืนจำนวน 4,982.50 "/>
    <s v="ค่าใช้จ่าย"/>
    <m/>
    <m/>
  </r>
  <r>
    <n v="34"/>
    <d v="2025-08-04T12:14:32"/>
    <d v="2025-08-04T12:26:04"/>
    <s v="anonymous"/>
    <n v="0"/>
    <x v="3"/>
    <d v="2025-08-04T00:00:00"/>
    <s v="5303 / 5304"/>
    <s v="จุฑามาศ อาจสามารถ"/>
    <s v="0980282330"/>
    <n v="0"/>
    <x v="9"/>
    <x v="30"/>
    <s v="เบื้องต้นได้อธิบายในส่วนของการชาร์จราคาการมารับเลท และค่าบริการรถรับส่งไปแล้ว ลูกค้าแจ้งว่าเข้าใจ แต่คิดว่าคงเปลี่ยนโรงพยาบาล"/>
    <s v="0293"/>
    <s v="ศุภรัตน์ วงศ์พิพัฒน์เจริญ / รัญชิดา เทพแก้ว / พิศุทธิ์ สายชู"/>
    <s v="ไม่ต้อง"/>
    <n v="0"/>
    <n v="0"/>
    <n v="0"/>
    <n v="0"/>
    <n v="0"/>
    <s v="ค่าใช้จ่าย"/>
    <m/>
    <m/>
  </r>
  <r>
    <n v="35"/>
    <d v="2025-08-06T10:41:26"/>
    <d v="2025-08-06T10:45:02"/>
    <s v="anonymous"/>
    <n v="0"/>
    <x v="2"/>
    <d v="2025-08-06T00:00:00"/>
    <s v="HN 2984"/>
    <s v="คุณหรัณย์ พรรณพานิช"/>
    <s v="085 666 5366"/>
    <s v="FRONT"/>
    <x v="9"/>
    <x v="31"/>
    <s v="พี่ฝน(คุณพันธ์) โทรไปขอโทษ และให้ฝากเลี้ยงโดยไม่มีค่าใช้จ่าย เนื่องจากทางเราไม่ได้แจ้งเจ้าของก่อน"/>
    <s v="0190"/>
    <s v="แพรวาFront"/>
    <s v="ไม่ต้อง"/>
    <n v="0"/>
    <n v="0"/>
    <n v="0"/>
    <n v="0"/>
    <n v="0"/>
    <s v="ค่าใช้จ่าย"/>
    <m/>
    <m/>
  </r>
  <r>
    <n v="36"/>
    <d v="2025-08-07T20:48:28"/>
    <d v="2025-08-07T20:52:22"/>
    <s v="anonymous"/>
    <n v="0"/>
    <x v="1"/>
    <d v="2025-06-15T00:00:00"/>
    <s v="Rolex"/>
    <s v="Waranon"/>
    <s v="0925619940"/>
    <s v="GROOMING"/>
    <x v="2"/>
    <x v="32"/>
    <s v="ว่ากล่าวตักเตือนเรียบร้อยและให้จับเวลาในการอาบน้ำ รวมภึงให้ฟร้อนและพยาบาลช่วยกันดู หลังอาบ ให้หมอรีเชคอีกที"/>
    <s v="0191"/>
    <s v="Chama"/>
    <s v="ต้อง"/>
    <s v="51250002182"/>
    <n v="0"/>
    <n v="0"/>
    <s v="Credit note"/>
    <s v="ค่ารักษาหลังจากที่มาอาบน้ำเพื่อแสดงความรับผิดชอบ"/>
    <s v="การสื่อสารด้าน Non-Clinical"/>
    <s v="ปิดเคส - neutral"/>
    <d v="2025-08-06T00:00:00"/>
  </r>
  <r>
    <n v="37"/>
    <d v="2025-08-08T08:13:25"/>
    <d v="2025-08-08T08:17:55"/>
    <s v="anonymous"/>
    <n v="0"/>
    <x v="2"/>
    <d v="2025-08-02T00:00:00"/>
    <s v="Rocky (4256)"/>
    <s v="Tim Ho  (3090)"/>
    <s v="080 656 9100"/>
    <s v="VET"/>
    <x v="6"/>
    <x v="33"/>
    <s v="เก็บเงินลูกค้ามาตามบิล 2,766 บาท แล้วทำการ void ออก แล้วรับชำระใหม่ยอด 1,300 บาท"/>
    <s v="แพรวา"/>
    <s v="แพรวา"/>
    <s v="ต้อง"/>
    <s v="21250014586"/>
    <n v="45871"/>
    <s v="Credit card"/>
    <s v="Credit note"/>
    <s v="_x0009_ค่าบริการเช็ดหู M (Vet) / ค่าบริการเช็ดหู M   130 บาท"/>
    <m/>
    <m/>
    <m/>
  </r>
  <r>
    <n v="38"/>
    <d v="2025-08-08T14:30:46"/>
    <d v="2025-08-08T14:34:51"/>
    <s v="anonymous"/>
    <n v="0"/>
    <x v="2"/>
    <d v="2025-08-07T00:00:00"/>
    <s v="เฌอนุ่น 12794"/>
    <s v="ตูน"/>
    <s v="094-9941670"/>
    <s v="NURSE IPD"/>
    <x v="10"/>
    <x v="34"/>
    <s v="ให้ลูกค้าพาน้องกลับมาแอกมิทให้น้ำเกลือและเช็คเลือด 7/8มีนัดเช็คเลือดซ้ำกับคุณหมอเจ้าของไข้"/>
    <s v="0288"/>
    <s v="ตูน"/>
    <s v="ไม่ต้อง"/>
    <n v="0"/>
    <n v="0"/>
    <n v="0"/>
    <n v="0"/>
    <n v="0"/>
    <s v="การคีย์ Order"/>
    <s v="ปิดเคส - positive"/>
    <d v="2025-08-08T00:00:00"/>
  </r>
  <r>
    <n v="39"/>
    <d v="2025-08-10T12:13:43"/>
    <d v="2025-08-10T12:19:28"/>
    <s v="anonymous"/>
    <n v="0"/>
    <x v="2"/>
    <d v="2025-08-10T00:00:00"/>
    <s v="ไอติม HN 13290"/>
    <s v="คุณธิดารัตน์"/>
    <s v="0819890958"/>
    <s v="FRONT"/>
    <x v="11"/>
    <x v="35"/>
    <s v="แพรวาโทรไปขอโทษลูกค้า"/>
    <s v="0219"/>
    <s v="แพรวา จ๋า"/>
    <s v="ไม่ต้อง"/>
    <n v="0"/>
    <n v="0"/>
    <n v="0"/>
    <n v="0"/>
    <n v="0"/>
    <s v="การดูแล/รักษาผู้ป่วย - IPD"/>
    <s v="ปิดเคส - negative"/>
    <d v="2025-08-09T00:00:00"/>
  </r>
  <r>
    <n v="40"/>
    <d v="2025-08-11T10:32:08"/>
    <d v="2025-08-11T10:38:13"/>
    <s v="anonymous"/>
    <n v="0"/>
    <x v="4"/>
    <d v="2025-08-08T00:00:00"/>
    <s v="Jordy1790"/>
    <s v="Alina"/>
    <s v="0894424694"/>
    <s v="VET"/>
    <x v="3"/>
    <x v="36"/>
    <s v="แจ้งหัวหน้าหมอดำเนินการตักเตือน ผจก โทรติดต่อ ลค เพิ่อทำการขอโทษ และชดเชย ลค ด้วยการให้ตรวจปัสสาวะไม่ที คชจ ให้หมอ จข เคสโทรคุยและรับทราบccลค"/>
    <s v="0226"/>
    <s v="ตะวัน ไผ่ตะการ"/>
    <s v="ไม่ต้อง"/>
    <n v="0"/>
    <n v="0"/>
    <n v="0"/>
    <n v="0"/>
    <n v="0"/>
    <s v="การดูแล/รักษาผู้ป่วย - OPD"/>
    <s v="ปิดเคส - negative"/>
    <d v="2025-08-10T00:00:00"/>
  </r>
  <r>
    <n v="41"/>
    <d v="2025-08-11T10:38:30"/>
    <d v="2025-08-11T10:41:37"/>
    <s v="anonymous"/>
    <n v="0"/>
    <x v="4"/>
    <d v="2025-08-03T00:00:00"/>
    <s v="Buzz5987"/>
    <s v="พรภวิษย์"/>
    <s v="0944142656"/>
    <s v="GROOMING"/>
    <x v="1"/>
    <x v="37"/>
    <s v="ผจก รับccให้ ลค นำมาแก้ไขที่สาขาทองหล่อและบริการpet taxiไม่มีค่าใช้จ่าย"/>
    <s v="0226"/>
    <s v="ปภิชยา"/>
    <s v="ไม่ต้อง"/>
    <n v="0"/>
    <n v="0"/>
    <n v="0"/>
    <n v="0"/>
    <n v="0"/>
    <s v="การสื่อสารด้าน Cliinical"/>
    <m/>
    <m/>
  </r>
  <r>
    <n v="42"/>
    <d v="2025-08-14T13:52:38"/>
    <d v="2025-08-14T13:56:01"/>
    <s v="anonymous"/>
    <n v="0"/>
    <x v="2"/>
    <d v="2025-08-13T00:00:00"/>
    <s v="Gobong 5760"/>
    <s v="รินทร์ลิตา ฉัตรเมธีเกียรติ์"/>
    <s v="0800818899"/>
    <s v="PHARMACY"/>
    <x v="6"/>
    <x v="38"/>
    <n v="0"/>
    <s v="0211"/>
    <s v="ปิ่น"/>
    <s v="ต้อง"/>
    <s v="21250015645"/>
    <n v="45882"/>
    <s v="QR code"/>
    <s v="คืนเงินลูกค้า (เข้า Prepayment)"/>
    <s v="Purrpet-Blue Collar (M) Ver.2"/>
    <m/>
    <m/>
    <m/>
  </r>
  <r>
    <n v="43"/>
    <d v="2025-08-15T10:01:48"/>
    <d v="2025-08-15T10:04:58"/>
    <s v="anonymous"/>
    <n v="0"/>
    <x v="4"/>
    <d v="2025-08-14T00:00:00"/>
    <s v="1471 พีโอนี่"/>
    <s v="พี่ลั่นทม (พี่เลี้ยงของน้อง)"/>
    <s v="0811325642"/>
    <s v="NURSE OPD"/>
    <x v="6"/>
    <x v="39"/>
    <n v="0"/>
    <s v="1026"/>
    <s v="หมอ CS"/>
    <s v="ไม่ต้อง"/>
    <n v="0"/>
    <n v="0"/>
    <n v="0"/>
    <n v="0"/>
    <n v="0"/>
    <m/>
    <s v="ปิดเคส - neutral"/>
    <d v="2025-08-13T00:00:00"/>
  </r>
  <r>
    <n v="44"/>
    <d v="2025-08-15T10:05:12"/>
    <d v="2025-08-15T10:08:48"/>
    <s v="anonymous"/>
    <n v="0"/>
    <x v="2"/>
    <d v="2025-08-09T00:00:00"/>
    <s v="11259 วุ้นเส้น"/>
    <s v="รัชนี (คุณเจ้าของ)"/>
    <s v="081 296 1789"/>
    <s v="FRONT"/>
    <x v="1"/>
    <x v="40"/>
    <n v="0"/>
    <s v="1026"/>
    <s v="หมอ ARM"/>
    <s v="ไม่ต้อง"/>
    <n v="0"/>
    <n v="0"/>
    <n v="0"/>
    <n v="0"/>
    <n v="0"/>
    <s v="การสื่อสารด้าน Cliinical"/>
    <m/>
    <m/>
  </r>
  <r>
    <n v="45"/>
    <d v="2025-08-15T10:08:50"/>
    <d v="2025-08-15T10:10:26"/>
    <s v="anonymous"/>
    <n v="0"/>
    <x v="2"/>
    <d v="2025-08-08T00:00:00"/>
    <s v="9798 Rocco"/>
    <s v="กชมน (เจ้าของ)"/>
    <s v="064 695 4777"/>
    <s v="FRONT"/>
    <x v="5"/>
    <x v="41"/>
    <n v="0"/>
    <s v="1026"/>
    <s v="หมอ ARM"/>
    <s v="ไม่ต้อง"/>
    <n v="0"/>
    <n v="0"/>
    <n v="0"/>
    <n v="0"/>
    <n v="0"/>
    <s v="การประสานงานภายใน"/>
    <s v="ปิดเคส - neutral"/>
    <d v="2025-08-09T00:00:00"/>
  </r>
  <r>
    <n v="46"/>
    <d v="2025-08-15T13:34:56"/>
    <d v="2025-08-15T13:37:46"/>
    <s v="anonymous"/>
    <n v="0"/>
    <x v="2"/>
    <d v="2025-08-08T00:00:00"/>
    <s v="Ellie (14324)"/>
    <s v="Sonny Alden  (10216)"/>
    <s v="091 697 6661"/>
    <s v="VET"/>
    <x v="2"/>
    <x v="42"/>
    <s v="-"/>
    <s v="แพรวา Front"/>
    <s v="แพรวา Front"/>
    <s v="ต้อง"/>
    <s v="21250015129"/>
    <n v="45877"/>
    <s v="QR code"/>
    <s v="คืนเงินลูกค้า (เข้า Prepayment)"/>
    <s v="IV SET Protector / Dexamethasone 0.5 mg TABLET   15 บาท"/>
    <s v="การสื่อสารด้าน Non-Clinical"/>
    <m/>
    <m/>
  </r>
  <r>
    <n v="47"/>
    <d v="2025-08-18T16:26:40"/>
    <d v="2025-08-18T16:32:50"/>
    <s v="anonymous"/>
    <n v="0"/>
    <x v="0"/>
    <d v="2025-08-16T00:00:00"/>
    <s v="ข้าวนึ่ง 7156"/>
    <s v=" ศาสน์ตริน แซ่จิว  (5136)"/>
    <s v="+66 83 525 3265"/>
    <s v="GROOMING"/>
    <x v="10"/>
    <x v="43"/>
    <s v="ผู้จัดการโทรคุยเรียบร้อย ให้เจ้าของพากลับมาอาบน้ำและตัดขนแก้ทรงใหม่โดยไม่เสียค่าใช้จ่าย เจ้าของโอเคพอใจ แค่อยาก feedback และอยากรู้ว่าเปลี่ยนช่างหรือไม่ เพราะทุกครั้งที่มาใช้บริการทำได้ดีมาก"/>
    <s v="1021"/>
    <s v="ลูกเกด"/>
    <s v="ไม่ต้อง"/>
    <n v="0"/>
    <n v="0"/>
    <n v="0"/>
    <n v="0"/>
    <n v="0"/>
    <s v="การคีย์ Order"/>
    <s v="ปิดเคส - neutral"/>
    <d v="2025-08-08T00:00:00"/>
  </r>
  <r>
    <n v="48"/>
    <d v="2025-08-19T17:17:33"/>
    <d v="2025-08-19T17:19:29"/>
    <s v="anonymous"/>
    <n v="0"/>
    <x v="0"/>
    <d v="2025-08-11T00:00:00"/>
    <s v="วัวนม"/>
    <s v="ลูกเกด"/>
    <s v="0979206194"/>
    <s v="FRONT"/>
    <x v="6"/>
    <x v="44"/>
    <s v="เขียน Memo แก้ไขบิลใบเสร็จให้ทางบัญชี"/>
    <s v="0074"/>
    <s v="-"/>
    <s v="ไม่ต้อง"/>
    <n v="0"/>
    <n v="0"/>
    <n v="0"/>
    <n v="0"/>
    <n v="0"/>
    <m/>
    <m/>
    <m/>
  </r>
  <r>
    <n v="49"/>
    <d v="2025-08-20T13:21:15"/>
    <d v="2025-08-20T13:23:51"/>
    <s v="anonymous"/>
    <n v="0"/>
    <x v="1"/>
    <d v="2025-08-07T00:00:00"/>
    <s v="12467"/>
    <s v="วรานนท์"/>
    <s v="0925619940"/>
    <s v="GROOMING"/>
    <x v="6"/>
    <x v="45"/>
    <s v="เช็คก่อนส่งคืนเจ้าของ หับจับเวลาการอาบน้ำ"/>
    <s v="0191"/>
    <s v="Chama"/>
    <s v="ต้อง"/>
    <s v="51250002182"/>
    <n v="0"/>
    <n v="0"/>
    <s v="Credit note"/>
    <n v="0"/>
    <m/>
    <m/>
    <m/>
  </r>
  <r>
    <n v="50"/>
    <d v="2025-08-20T13:24:34"/>
    <d v="2025-08-20T13:27:11"/>
    <s v="anonymous"/>
    <n v="0"/>
    <x v="4"/>
    <d v="2025-08-20T00:00:00"/>
    <s v="Bambam 2383"/>
    <s v="มัทธุรา"/>
    <s v="0859536591"/>
    <s v="VET"/>
    <x v="6"/>
    <x v="46"/>
    <s v="ให้ลูกค้ากลับมาทำแผลใหม่ ไม่มีค่าใช้จ่ายเพิ่ม"/>
    <s v="0226"/>
    <s v="ธิดารัตน์ ทูลพุทธา"/>
    <s v="ไม่ต้อง"/>
    <n v="0"/>
    <n v="0"/>
    <n v="0"/>
    <n v="0"/>
    <n v="0"/>
    <m/>
    <m/>
    <m/>
  </r>
  <r>
    <n v="51"/>
    <d v="2025-08-20T14:37:32"/>
    <d v="2025-08-20T14:40:46"/>
    <s v="anonymous"/>
    <n v="0"/>
    <x v="2"/>
    <d v="2025-08-07T00:00:00"/>
    <s v="เฌอนุ่น 12794"/>
    <s v="ตูน"/>
    <s v="0949941670"/>
    <s v="NURSE IPD"/>
    <x v="3"/>
    <x v="47"/>
    <n v="0"/>
    <s v="0288"/>
    <s v="ตูน"/>
    <s v="ต้อง"/>
    <n v="0"/>
    <n v="0"/>
    <n v="0"/>
    <n v="0"/>
    <n v="0"/>
    <s v="การดูแล/รักษาผู้ป่วย - OPD"/>
    <m/>
    <m/>
  </r>
  <r>
    <n v="52"/>
    <d v="2025-08-20T16:33:03"/>
    <d v="2025-08-20T16:39:57"/>
    <s v="anonymous"/>
    <n v="0"/>
    <x v="2"/>
    <d v="2025-08-20T00:00:00"/>
    <s v="Chopper"/>
    <s v="หมอพล (รายงานแทน)"/>
    <s v="0935295359"/>
    <s v="VET"/>
    <x v="11"/>
    <x v="48"/>
    <s v="Compensate ค่า MRI จาก 23000 เหลือ 15000"/>
    <s v="หมอปุ้ย"/>
    <s v="หมอปุ้ย"/>
    <s v="ต้อง"/>
    <s v="ยังไม่มี invoice"/>
    <n v="0"/>
    <n v="0"/>
    <s v="Credit note"/>
    <s v="ลดราคา Bundle MRI จาก 23000 เหลือ 15000"/>
    <s v="การดูแล/รักษาผู้ป่วย - IPD"/>
    <s v="ปิดเคส - negative"/>
    <m/>
  </r>
  <r>
    <n v="53"/>
    <d v="2025-08-22T12:50:11"/>
    <d v="2025-08-22T12:53:48"/>
    <s v="anonymous"/>
    <n v="0"/>
    <x v="2"/>
    <d v="2025-08-22T00:00:00"/>
    <s v="แดอุน 11397"/>
    <s v="ธัญญภัสร์ กฤติธนินท์ศักดิ์"/>
    <s v="0964149395"/>
    <s v="NURSE IPD"/>
    <x v="1"/>
    <x v="49"/>
    <n v="0"/>
    <s v="0000"/>
    <s v="เนย ปิ่น ไอซ์"/>
    <s v="ไม่ต้อง"/>
    <n v="0"/>
    <n v="0"/>
    <n v="0"/>
    <n v="0"/>
    <n v="0"/>
    <s v="การสื่อสารด้าน Cliinical"/>
    <m/>
    <m/>
  </r>
  <r>
    <n v="54"/>
    <d v="2025-08-22T15:15:35"/>
    <d v="2025-08-22T15:29:16"/>
    <s v="anonymous"/>
    <n v="0"/>
    <x v="2"/>
    <d v="2025-08-11T00:00:00"/>
    <s v="ไลก้า"/>
    <s v=" พิชชากร คุณวุฒิโอภาส (3892)"/>
    <s v="66 65 540 9999"/>
    <s v="VET"/>
    <x v="2"/>
    <x v="50"/>
    <s v="ขอโทษลูกค้า"/>
    <s v="0305"/>
    <s v="เปรมพร"/>
    <s v="ต้อง"/>
    <s v="21250015544"/>
    <n v="45881"/>
    <s v="QR code"/>
    <s v="คืนเงินลูกค้า (เข้า Prepayment)"/>
    <s v="Damage 1160 บาท"/>
    <s v="การสื่อสารด้าน Non-Clinical"/>
    <s v="ปิดเคส - neutral"/>
    <d v="2025-08-22T00:00:00"/>
  </r>
  <r>
    <n v="56"/>
    <d v="2025-08-22T16:45:29"/>
    <d v="2025-08-22T16:50:46"/>
    <s v="anonymous"/>
    <n v="0"/>
    <x v="2"/>
    <d v="2025-08-16T00:00:00"/>
    <s v="ลูน่า (Luna)"/>
    <s v=" นภพรรษ ธนธีรากุล (10364)"/>
    <s v="66 99 452 4651 "/>
    <s v=".Back Office/Support"/>
    <x v="7"/>
    <x v="51"/>
    <n v="0"/>
    <s v="บอส"/>
    <s v="บอส"/>
    <s v="ไม่ต้อง"/>
    <n v="0"/>
    <n v="0"/>
    <n v="0"/>
    <n v="0"/>
    <n v="0"/>
    <s v="การประเมินราคา"/>
    <s v="ปิดเคส - negative"/>
    <d v="2025-08-25T00:00:00"/>
  </r>
  <r>
    <n v="57"/>
    <d v="2025-08-24T20:29:43"/>
    <d v="2025-08-24T20:40:36"/>
    <s v="anonymous"/>
    <n v="0"/>
    <x v="2"/>
    <d v="2025-08-24T00:00:00"/>
    <s v="บุญชู (14923)"/>
    <s v="กาญจน์ศิริ บุนนาค  (10604)"/>
    <s v="099 236 5989"/>
    <s v="NURSE IPD"/>
    <x v="2"/>
    <x v="52"/>
    <s v="ไม่เก็บเงินค่ากล้องคืนที่แถม"/>
    <s v="อ๋อ/แพรวา"/>
    <s v="อ๋อ/แพรวา"/>
    <s v="ไม่ต้อง"/>
    <n v="0"/>
    <n v="0"/>
    <n v="0"/>
    <n v="0"/>
    <n v="0"/>
    <s v="การสื่อสารด้าน Non-Clinical"/>
    <s v="ติดต่อแล้ว - ดำเนินการชดเชยแล้ว"/>
    <m/>
  </r>
  <r>
    <n v="58"/>
    <d v="2025-08-27T15:27:56"/>
    <d v="2025-08-27T15:30:06"/>
    <s v="anonymous"/>
    <n v="0"/>
    <x v="2"/>
    <d v="2025-08-27T00:00:00"/>
    <s v="Bo (7520)"/>
    <s v="Samantha(5408)"/>
    <s v="+66 65 835 2040"/>
    <s v="FRONT"/>
    <x v="5"/>
    <x v="53"/>
    <n v="0"/>
    <s v="1026"/>
    <s v="ARM"/>
    <s v="ไม่ต้อง"/>
    <n v="0"/>
    <n v="0"/>
    <n v="0"/>
    <n v="0"/>
    <n v="0"/>
    <s v="การประสานงานภายใน"/>
    <s v="ปิดเคส - neutral"/>
    <d v="2025-09-24T00:00:00"/>
  </r>
  <r>
    <n v="59"/>
    <d v="2025-08-30T10:11:39"/>
    <d v="2025-08-30T10:34:41"/>
    <s v="anonymous"/>
    <n v="0"/>
    <x v="2"/>
    <d v="2025-08-29T00:00:00"/>
    <s v="โบแบ (780)"/>
    <s v="วินน์ สุทธิเดช (567) "/>
    <s v="0956859946"/>
    <s v=".Back Office/Support"/>
    <x v="6"/>
    <x v="54"/>
    <s v="ขอโทษลูกค้าและให้เขามาจ่ายบิลในนัดครั้งหน้า ไม่สามารถส่งลิ้งค์ชำระยอดได้ เนื่องจากยอดไม่ถึง 1000 บาท"/>
    <s v="แพรวา"/>
    <s v="แพรวา"/>
    <s v="ไม่ต้อง"/>
    <n v="0"/>
    <n v="0"/>
    <n v="0"/>
    <n v="0"/>
    <n v="0"/>
    <m/>
    <m/>
    <m/>
  </r>
  <r>
    <n v="60"/>
    <d v="2025-08-31T12:01:29"/>
    <d v="2025-08-31T12:08:37"/>
    <s v="anonymous"/>
    <n v="0"/>
    <x v="2"/>
    <d v="2025-08-31T00:00:00"/>
    <s v="Daisy"/>
    <s v="คุณธัญย์ฐิตา"/>
    <s v="0966329924"/>
    <s v="VET"/>
    <x v="12"/>
    <x v="55"/>
    <s v="โทรแจ้งPlanการ X-Ray และผ่าตัดวันนี้"/>
    <s v="0219"/>
    <s v="แพรวา "/>
    <s v="ไม่ต้อง"/>
    <n v="0"/>
    <n v="0"/>
    <n v="0"/>
    <n v="0"/>
    <n v="0"/>
    <s v="การชำระค่ารักษาพยาบาล"/>
    <s v="ปิดเคส - neutral"/>
    <d v="2025-09-29T00:00:00"/>
  </r>
  <r>
    <n v="61"/>
    <d v="2025-08-31T13:06:30"/>
    <d v="2025-08-31T13:16:12"/>
    <s v="anonymous"/>
    <n v="0"/>
    <x v="2"/>
    <d v="2025-08-26T00:00:00"/>
    <s v="10037"/>
    <s v="7177"/>
    <s v="."/>
    <s v=".Back Office/Support"/>
    <x v="1"/>
    <x v="56"/>
    <n v="0"/>
    <s v="."/>
    <s v="."/>
    <s v="ต้อง"/>
    <n v="0"/>
    <n v="0"/>
    <n v="0"/>
    <n v="0"/>
    <n v="0"/>
    <s v="การสื่อสารด้าน Cliinical"/>
    <s v="ปิดเคส - negative"/>
    <d v="2025-10-17T00:00:00"/>
  </r>
  <r>
    <n v="62"/>
    <d v="2025-09-01T16:50:38"/>
    <d v="2025-09-01T17:01:10"/>
    <s v="anonymous"/>
    <n v="0"/>
    <x v="3"/>
    <d v="2025-08-31T00:00:00"/>
    <s v="Brownie HN.6535"/>
    <s v="คุณ พริมาภา ทองดี"/>
    <s v="0636391914"/>
    <s v="FRONT"/>
    <x v="13"/>
    <x v="57"/>
    <s v="ตอบรับความคิดเห็นของลูกค้าและขอภัยในความไม่สะดวก จะนำความคิดเห็นไปปรับปรุง"/>
    <s v="0159"/>
    <s v="นายเด่นพงศ์ สุขมาก"/>
    <s v="ไม่ต้อง"/>
    <n v="0"/>
    <n v="0"/>
    <n v="0"/>
    <n v="0"/>
    <n v="0"/>
    <s v="การจัดทำนัดหมายติดตามอาการ"/>
    <s v="ปิดเคส - neutral"/>
    <s v="31 Sept 25"/>
  </r>
  <r>
    <n v="63"/>
    <d v="2025-09-04T14:10:40"/>
    <d v="2025-09-04T14:17:53"/>
    <s v="anonymous"/>
    <n v="0"/>
    <x v="2"/>
    <d v="2025-08-26T00:00:00"/>
    <s v="Sergio"/>
    <s v="."/>
    <s v="."/>
    <s v=".Back Office/Support"/>
    <x v="6"/>
    <x v="58"/>
    <s v="ควรให้แอดมินคุยกับลูกค้าให้ชัดเจนในความต้องการ"/>
    <s v=".."/>
    <s v="จ๋าฟร้อน ตองแอดมิน"/>
    <s v="ต้อง"/>
    <n v="21250017440"/>
    <n v="45895"/>
    <s v="Credit card"/>
    <s v="ยกเลิก Invoices"/>
    <n v="0"/>
    <m/>
    <m/>
    <m/>
  </r>
  <r>
    <n v="64"/>
    <d v="2025-09-04T14:15:40"/>
    <d v="2025-09-04T14:20:29"/>
    <s v="anonymous"/>
    <n v="0"/>
    <x v="2"/>
    <d v="2025-08-28T00:00:00"/>
    <s v="คิโกะ 14627"/>
    <s v=" กฤติกา บริบาลบุรีภัณฑ์"/>
    <s v="0876817711 "/>
    <s v="VET"/>
    <x v="13"/>
    <x v="59"/>
    <s v="คุยกับเจ้าของชี้แจงรายละเอียดเรื่องที่เกิดขึ้น ซึ่งเราทำตาม clinical guideline แต่เจ้าของเหมือนอยากได้เงินค่าเยียวยา"/>
    <s v="0305"/>
    <s v="เปรมพร"/>
    <s v="ต้อง"/>
    <n v="21250017315"/>
    <n v="0"/>
    <n v="0"/>
    <n v="0"/>
    <n v="0"/>
    <s v="การจัดทำนัดหมายติดตามอาการ"/>
    <s v="ติดต่อแล้ว - ดำเนินการชดเชยแล้ว"/>
    <d v="2025-09-29T00:00:00"/>
  </r>
  <r>
    <n v="65"/>
    <d v="2025-09-05T13:42:31"/>
    <d v="2025-09-05T13:46:11"/>
    <s v="anonymous"/>
    <n v="0"/>
    <x v="4"/>
    <d v="2025-09-04T00:00:00"/>
    <s v="Keshi11853"/>
    <s v="คุณพรพรรณ"/>
    <s v="0892045516"/>
    <s v="FRONT"/>
    <x v="11"/>
    <x v="60"/>
    <s v="จับน้องหมากลับมาได้อย่างปลอดภัย ขอโทษลูกค้า เรียกผู้เกี่ยวข้องมาตักเตือน วางมาตรการความปลอดภัย เสนอแนวทางกั้นรั้วบริเวณที่ขับถ่าย"/>
    <s v="0226"/>
    <s v="ตะวัน ไผ่ตระการ"/>
    <s v="ไม่ต้อง"/>
    <n v="0"/>
    <n v="0"/>
    <n v="0"/>
    <n v="0"/>
    <n v="0"/>
    <s v="การดูแล/รักษาผู้ป่วย - IPD"/>
    <s v="ปิดเคส - negative"/>
    <d v="2025-09-11T00:00:00"/>
  </r>
  <r>
    <n v="66"/>
    <d v="2025-09-06T17:49:10"/>
    <d v="2025-09-06T17:56:08"/>
    <s v="anonymous"/>
    <n v="0"/>
    <x v="2"/>
    <d v="2025-09-06T00:00:00"/>
    <s v="Mochi (15715)"/>
    <s v="จุฑามาศ ขันมณี "/>
    <s v="+66 89 393 5629"/>
    <s v="FRONT"/>
    <x v="6"/>
    <x v="61"/>
    <s v="-"/>
    <s v="1026 --อยากเห็นการแก้ไข และแนวทางการป้องกันที่ชัดเจนครับ เกิดเหตุการณ์ซ้ำหลายครั้งมากเกินไปแล้วครับ"/>
    <s v="ARM"/>
    <s v="ไม่ต้อง"/>
    <n v="0"/>
    <n v="0"/>
    <n v="0"/>
    <n v="0"/>
    <n v="0"/>
    <m/>
    <m/>
    <m/>
  </r>
  <r>
    <n v="67"/>
    <d v="2025-09-07T17:16:25"/>
    <d v="2025-09-07T17:18:20"/>
    <s v="anonymous"/>
    <n v="0"/>
    <x v="2"/>
    <d v="2025-09-05T00:00:00"/>
    <s v="Micheal (15150)"/>
    <s v="K.Zayar"/>
    <s v="0936366119"/>
    <s v="VET"/>
    <x v="2"/>
    <x v="62"/>
    <n v="0"/>
    <s v="0039"/>
    <s v="ice,pad,noey(phar)"/>
    <s v="ต้อง"/>
    <n v="0"/>
    <n v="0"/>
    <n v="0"/>
    <n v="0"/>
    <n v="0"/>
    <s v="การสื่อสารด้าน Non-Clinical"/>
    <s v="ปิดเคส - neutral"/>
    <d v="2025-09-08T00:00:00"/>
  </r>
  <r>
    <n v="68"/>
    <d v="2025-09-08T10:46:42"/>
    <d v="2025-09-08T10:51:53"/>
    <s v="anonymous"/>
    <n v="0"/>
    <x v="2"/>
    <d v="2025-08-28T00:00:00"/>
    <s v="มีตังค์ (8605)"/>
    <s v="คุณธนวัฒน์ มานะวงศ์สกุล"/>
    <s v="0909879466"/>
    <s v="VET"/>
    <x v="4"/>
    <x v="63"/>
    <s v="คุณเต้ทำเรื่องคืนเงินให้ลูกค้า"/>
    <s v="0039"/>
    <s v="0039"/>
    <s v="ต้อง"/>
    <s v="INV21250016904"/>
    <n v="45897"/>
    <s v="Credit card"/>
    <s v="Credit note"/>
    <s v="Pimobendan 5 mg 16 tablet , "/>
    <s v="การจ่ายยา"/>
    <s v="ปิดเคส - negative"/>
    <d v="2025-09-06T00:00:00"/>
  </r>
  <r>
    <n v="69"/>
    <d v="2025-09-08T15:11:29"/>
    <d v="2025-09-08T15:19:47"/>
    <s v="anonymous"/>
    <n v="0"/>
    <x v="2"/>
    <d v="2025-09-04T00:00:00"/>
    <s v="Michael (15150)"/>
    <s v="Zayar (Laeo) Lynn (10771)"/>
    <s v="0936366119"/>
    <s v="VET"/>
    <x v="4"/>
    <x v="64"/>
    <s v="ตรวจสอบก่อนส่งจัดยา"/>
    <s v="0039"/>
    <s v="0039"/>
    <s v="ต้อง"/>
    <s v="21250017622"/>
    <n v="45904"/>
    <s v="QR code"/>
    <s v="คืนเงินลูกค้า (โอนคืน)"/>
    <s v="ทั้งบิล INV21250017622 (12,595) "/>
    <s v="การจ่ายยา"/>
    <s v="ปิดเคส - neutral"/>
    <d v="2025-08-28T00:00:00"/>
  </r>
  <r>
    <n v="70"/>
    <d v="2025-09-09T10:59:17"/>
    <d v="2025-09-09T11:04:39"/>
    <s v="anonymous"/>
    <n v="0"/>
    <x v="2"/>
    <d v="2025-09-09T00:00:00"/>
    <s v="น้ำตาล 4826"/>
    <s v="ปณิตา"/>
    <s v="0898923535"/>
    <s v="CASHIER"/>
    <x v="4"/>
    <x v="65"/>
    <s v="ตรวจสอบก่อนส่งจัดยา"/>
    <s v="1"/>
    <s v="บอส"/>
    <s v="ต้อง"/>
    <n v="2.12500155732125E+21"/>
    <n v="45881"/>
    <n v="0"/>
    <s v="คืนเงินลูกค้า (เข้า Prepayment)"/>
    <n v="0"/>
    <s v="การจ่ายยา"/>
    <m/>
    <m/>
  </r>
  <r>
    <n v="71"/>
    <d v="2025-09-17T09:08:53"/>
    <d v="2025-09-17T09:12:40"/>
    <s v="anonymous"/>
    <n v="0"/>
    <x v="2"/>
    <d v="2025-09-12T00:00:00"/>
    <s v="ดินดี (13605) "/>
    <s v="ปริสา สารนุสิต  (9714)"/>
    <s v="0896929496"/>
    <s v="CASHIER"/>
    <x v="12"/>
    <x v="66"/>
    <s v="เขีนMemoให้บัญชีแก้ไขบิล"/>
    <s v="แพรวา"/>
    <s v="แพรวา"/>
    <s v="ไม่ต้อง"/>
    <n v="0"/>
    <n v="0"/>
    <n v="0"/>
    <n v="0"/>
    <n v="0"/>
    <s v="การชำระค่ารักษาพยาบาล"/>
    <s v="ปิดเคส - neutral"/>
    <d v="2025-09-09T00:00:00"/>
  </r>
  <r>
    <n v="72"/>
    <d v="2025-09-17T09:12:44"/>
    <d v="2025-09-17T09:14:59"/>
    <s v="anonymous"/>
    <n v="0"/>
    <x v="2"/>
    <d v="2025-09-09T00:00:00"/>
    <s v="ฮันน่า (13608)"/>
    <s v="หฤทชญา ประพลวณิช &amp; ไพลิน เวอร์จิเนีย สปาน  (925)"/>
    <s v="097 969 4449"/>
    <s v="VET"/>
    <x v="10"/>
    <x v="67"/>
    <s v="คิดเป็นราคาที่ถูกต้องและเก็บเงินลูกค้าเพิ่มเติม"/>
    <s v="แพรวา"/>
    <s v="แพรวา"/>
    <s v="ไม่ต้อง"/>
    <n v="0"/>
    <n v="0"/>
    <n v="0"/>
    <n v="0"/>
    <n v="0"/>
    <s v="การคีย์ Order"/>
    <s v="ปิดเคส - neutral"/>
    <d v="2025-09-12T00:00:00"/>
  </r>
  <r>
    <n v="73"/>
    <d v="2025-09-17T20:42:39"/>
    <d v="2025-09-17T20:52:54"/>
    <s v="anonymous"/>
    <n v="0"/>
    <x v="2"/>
    <d v="2025-09-15T00:00:00"/>
    <s v="เยลลี่ 15928"/>
    <s v="K.ธัญลักษณ์11336"/>
    <s v="0897855402"/>
    <s v="FRONT"/>
    <x v="4"/>
    <x v="68"/>
    <s v="ตรวจเช็คให้ดีว่าลูกค้าพาสุนัขเข้ามารับการรักษาและได้ใช้แพ็คเกจอะไรในการรักษาและรวมค่าห้องแล้วหรือยัง "/>
    <s v="0238"/>
    <s v="Thanchanakorn0238"/>
    <s v="ต้อง"/>
    <s v="21250018645"/>
    <n v="45915"/>
    <s v="Credit card"/>
    <s v="คืนเงินลูกค้า (เข้า Prepayment)"/>
    <s v="1100 บาท (รายละเอียดยอด230ที่เพิ่มเข้ามาได้ทำการเขียนmemoเพื่ออธิบายแล้ว"/>
    <s v="การจ่ายยา"/>
    <s v="ปิดเคส - neutral"/>
    <d v="2025-09-09T00:00:00"/>
  </r>
  <r>
    <n v="74"/>
    <d v="2025-09-18T16:24:15"/>
    <d v="2025-09-18T16:32:07"/>
    <s v="anonymous"/>
    <n v="0"/>
    <x v="3"/>
    <d v="2025-09-15T00:00:00"/>
    <s v="Marina(มารีน่า) 15759"/>
    <s v="JL"/>
    <s v="0842535137"/>
    <s v="VET"/>
    <x v="10"/>
    <x v="69"/>
    <s v="หมอควรเช็คคำสั่งแล็บหลังคีย์เสร็จว่าถูกต้องหรือเปล่า"/>
    <s v="1044"/>
    <s v="หมอ FHA"/>
    <s v="ต้อง"/>
    <s v="41250005302"/>
    <n v="45916"/>
    <s v="QR code"/>
    <s v="คืนเงินลูกค้า (โอนคืน)"/>
    <s v="ค่าตรวจ CBC&amp;DIFF IDEXX 300 บาท และค่าตรวจ CHEM10 1,300 บาท"/>
    <s v="การคีย์ Order"/>
    <s v="ปิดเคส - negative"/>
    <d v="2025-09-15T00:00:00"/>
  </r>
  <r>
    <n v="75"/>
    <d v="2025-09-18T16:32:11"/>
    <d v="2025-09-18T16:49:24"/>
    <s v="anonymous"/>
    <n v="0"/>
    <x v="3"/>
    <d v="2025-09-08T00:00:00"/>
    <s v="Avanza (15947)"/>
    <s v="JL"/>
    <s v="0842535137"/>
    <s v="VET"/>
    <x v="10"/>
    <x v="70"/>
    <s v="เช็คคำสั่งแล็บก่อนกดตกลงตรวจ หรืออย่างน้อยควรเช็คก่อนให้ลูกค้าชำระเงิน"/>
    <s v="1044"/>
    <s v="หมอ AU"/>
    <s v="ต้อง"/>
    <s v="41250005150"/>
    <n v="45909"/>
    <s v="QR code"/>
    <s v="คืนเงินลูกค้า (เข้า Prepayment)"/>
    <s v="ค่าตรวจ CBC&amp;DIFF IDEXX 300 บาท"/>
    <s v="การคีย์ Order"/>
    <m/>
    <m/>
  </r>
  <r>
    <n v="76"/>
    <d v="2025-09-19T22:22:24"/>
    <d v="2025-09-19T22:25:42"/>
    <s v="anonymous"/>
    <n v="0"/>
    <x v="2"/>
    <d v="2025-09-19T00:00:00"/>
    <s v="Bonbon9218"/>
    <s v="Jay kim (Phanupat เขียนแทน)"/>
    <s v="0989782337"/>
    <s v="FRONT"/>
    <x v="10"/>
    <x v="71"/>
    <s v="ขอโทษลูกค้า ตักเตือนในทีม"/>
    <s v="0235"/>
    <s v="บอส แพรวา "/>
    <s v="ไม่ต้อง"/>
    <n v="0"/>
    <n v="0"/>
    <n v="0"/>
    <n v="0"/>
    <n v="0"/>
    <s v="การคีย์ Order"/>
    <m/>
    <m/>
  </r>
  <r>
    <n v="77"/>
    <d v="2025-09-21T07:43:02"/>
    <d v="2025-09-21T07:46:50"/>
    <s v="anonymous"/>
    <n v="0"/>
    <x v="2"/>
    <d v="2025-09-19T00:00:00"/>
    <s v="Victoria (14942) Walter (14941)"/>
    <s v=" Ana Vang   (10419)"/>
    <s v="094 320 2919"/>
    <s v="VET"/>
    <x v="5"/>
    <x v="72"/>
    <s v="ประสานงานกับหมอเรื่อยๆ"/>
    <s v="Front"/>
    <s v="Front"/>
    <s v="ไม่ต้อง"/>
    <n v="0"/>
    <n v="0"/>
    <n v="0"/>
    <n v="0"/>
    <n v="0"/>
    <s v="การประสานงานภายใน"/>
    <s v="ปิดเคส - negative"/>
    <d v="2025-09-19T00:00:00"/>
  </r>
  <r>
    <n v="78"/>
    <d v="2025-09-22T10:47:33"/>
    <d v="2025-09-22T10:49:02"/>
    <s v="anonymous"/>
    <n v="0"/>
    <x v="2"/>
    <d v="2025-09-14T00:00:00"/>
    <s v="16258"/>
    <s v="สาธิต"/>
    <s v="0804403799"/>
    <s v="VET"/>
    <x v="5"/>
    <x v="73"/>
    <s v="เช็คอีกรอบก่อนการจ่ายยา"/>
    <s v="1039"/>
    <s v="พี่ปัด"/>
    <s v="ไม่ต้อง"/>
    <n v="0"/>
    <n v="0"/>
    <n v="0"/>
    <n v="0"/>
    <n v="0"/>
    <s v="การประสานงานภายใน"/>
    <s v="ปิดเคส - neutral"/>
    <d v="2025-09-22T00:00:00"/>
  </r>
  <r>
    <n v="79"/>
    <d v="2025-09-22T16:41:28"/>
    <d v="2025-09-22T16:47:55"/>
    <s v="anonymous"/>
    <n v="0"/>
    <x v="2"/>
    <d v="2025-09-22T00:00:00"/>
    <s v="สีนิฬ (10187)"/>
    <s v="Grace"/>
    <s v="0968386780"/>
    <s v="FRONT"/>
    <x v="10"/>
    <x v="74"/>
    <s v="หมอมิ้มมาตรวจน้องทัน"/>
    <s v="-"/>
    <s v="น้องเนย"/>
    <s v="ไม่ต้อง"/>
    <n v="0"/>
    <n v="0"/>
    <n v="0"/>
    <n v="0"/>
    <n v="0"/>
    <s v="การคีย์ Order"/>
    <s v="ปิดเคส - neutral"/>
    <d v="2025-09-14T00:00:00"/>
  </r>
  <r>
    <n v="80"/>
    <d v="2025-09-25T09:03:00"/>
    <d v="2025-09-25T09:07:59"/>
    <s v="anonymous"/>
    <n v="0"/>
    <x v="2"/>
    <d v="2025-09-24T00:00:00"/>
    <s v="คากิ 16591"/>
    <s v="สาขาเพชรเกษมได้รับเรื่องจากลูกค้า คุณสมพร"/>
    <s v="0854882947"/>
    <s v="FRONT"/>
    <x v="5"/>
    <x v="75"/>
    <s v="ลูกค้ามาสาขาเพชรเกษมแทนFrontขอโทษลูกค้าและแจ้งรับเรื่องมาแก้ไข"/>
    <s v="0251"/>
    <s v="ตอง กับ แป้ง"/>
    <s v="ไม่ต้อง"/>
    <n v="0"/>
    <n v="0"/>
    <n v="0"/>
    <n v="0"/>
    <n v="0"/>
    <s v="การประสานงานภายใน"/>
    <s v="ปิดเคส - neutral"/>
    <d v="2025-09-22T00:00:00"/>
  </r>
  <r>
    <n v="81"/>
    <d v="2025-09-26T16:32:37"/>
    <d v="2025-09-26T16:41:10"/>
    <s v="anonymous"/>
    <n v="0"/>
    <x v="2"/>
    <d v="2025-09-25T00:00:00"/>
    <s v="ใบบัว 2311"/>
    <s v="ตูน"/>
    <s v="0949941670"/>
    <s v="NURSE OPD"/>
    <x v="13"/>
    <x v="76"/>
    <s v="ให้คุณหมอตรวจและทำแผลให้แมว + ขอโทษลูกค้าเบื้องต้น"/>
    <s v="0288"/>
    <s v="โบว์ปัน + ตูน"/>
    <s v="ต้อง"/>
    <s v="21250019640"/>
    <n v="45925"/>
    <s v="Cash"/>
    <s v="Credit note"/>
    <s v="อุปกรณ์ทำแผลและยาฆ่าเชื้อ"/>
    <s v="การจัดทำนัดหมายติดตามอาการ"/>
    <s v="ปิดเคส - negative"/>
    <m/>
  </r>
  <r>
    <n v="82"/>
    <d v="2025-09-29T11:35:25"/>
    <d v="2025-09-29T11:41:01"/>
    <s v="anonymous"/>
    <n v="0"/>
    <x v="1"/>
    <d v="2025-09-13T00:00:00"/>
    <s v="16007 silver"/>
    <s v="ชามา"/>
    <s v="0641746919"/>
    <s v="NURSE IPD"/>
    <x v="3"/>
    <x v="77"/>
    <s v="ให้หมอทำแผลและจ่ายยาให้ไม่คิดค่าใช้จ่าย"/>
    <s v="0251"/>
    <s v="ชามา"/>
    <s v="ไม่ต้อง"/>
    <n v="0"/>
    <n v="0"/>
    <n v="0"/>
    <n v="0"/>
    <n v="0"/>
    <s v="การดูแล/รักษาผู้ป่วย - OPD"/>
    <s v="ติดต่อแล้ว - ดำเนินการชดเชยแล้ว"/>
    <d v="2025-09-29T00:00:00"/>
  </r>
  <r>
    <n v="83"/>
    <d v="2025-10-02T13:28:58"/>
    <d v="2025-10-02T13:33:17"/>
    <s v="anonymous"/>
    <n v="0"/>
    <x v="2"/>
    <d v="2025-10-02T00:00:00"/>
    <s v="F.ชาดำ (7289) และ F.โซบะ(12724)"/>
    <s v="คุณมาริสา"/>
    <s v="0859195389"/>
    <s v="FRONT"/>
    <x v="11"/>
    <x v="78"/>
    <n v="0"/>
    <s v="-"/>
    <s v="-"/>
    <s v="ไม่ต้อง"/>
    <n v="0"/>
    <n v="0"/>
    <n v="0"/>
    <n v="0"/>
    <n v="0"/>
    <s v="การดูแล/รักษาผู้ป่วย - IPD"/>
    <m/>
    <m/>
  </r>
  <r>
    <n v="84"/>
    <d v="2025-10-06T22:34:59"/>
    <d v="2025-10-06T22:39:17"/>
    <s v="anonymous"/>
    <n v="0"/>
    <x v="2"/>
    <d v="2025-10-06T00:00:00"/>
    <s v="Cupid 16846"/>
    <s v="Thanchanakorn"/>
    <s v="0901199681"/>
    <s v="FRONT"/>
    <x v="3"/>
    <x v="79"/>
    <n v="0"/>
    <s v="2038"/>
    <s v="Thanchanakorn"/>
    <s v="ต้อง"/>
    <s v="21250020723"/>
    <d v="2025-10-01T00:00:00"/>
    <s v="QR code"/>
    <s v="คืนเงินลูกค้า (โอนคืน)"/>
    <s v="คืนเงินมัดจำที่เหลือ ยอด290฿ เข้า บช ลูกค้า"/>
    <s v="การดูแล/รักษาผู้ป่วย - OPD"/>
    <m/>
    <m/>
  </r>
  <r>
    <n v="85"/>
    <d v="2025-10-06T22:42:55"/>
    <d v="2025-10-06T22:48:10"/>
    <s v="anonymous"/>
    <n v="0"/>
    <x v="2"/>
    <d v="2025-09-26T00:00:00"/>
    <s v="Siam 13245"/>
    <s v="Sandy"/>
    <s v="0996644626"/>
    <s v="FRONT"/>
    <x v="7"/>
    <x v="80"/>
    <n v="0"/>
    <s v="2038"/>
    <s v="Thanchanakorn"/>
    <s v="ต้อง"/>
    <s v="21250019720"/>
    <d v="2025-09-26T00:00:00"/>
    <n v="0"/>
    <s v="คืนเงินลูกค้า (เข้า Prepayment)"/>
    <s v="นอกสถานที่ Pet Private Car ไม่เกิน 5Km / Pet Limo Serviceไม่เกิน 5km //400฿  คืนเงินเข้าPrepayment ที่ชื่อว่า Deposit ยอดเดิม200฿ ยอดคงเหลือ ณ ปัจจุบัน (6/10) คือ 181 คืนเข้ายอดนี้ครับ"/>
    <s v="การประเมินราคา"/>
    <s v="ปิดเคส - neutral"/>
    <m/>
  </r>
  <r>
    <n v="86"/>
    <d v="2025-10-07T07:44:17"/>
    <d v="2025-10-07T07:52:52"/>
    <s v="anonymous"/>
    <n v="0"/>
    <x v="2"/>
    <d v="2025-10-06T00:00:00"/>
    <s v="Pablo 4858"/>
    <s v="Thanchanakorn"/>
    <s v="0901199681"/>
    <s v="FRONT"/>
    <x v="12"/>
    <x v="81"/>
    <n v="0"/>
    <s v="0238"/>
    <s v="Thanchanakorn"/>
    <s v="ไม่ต้อง"/>
    <n v="0"/>
    <d v="1899-12-30T00:00:00"/>
    <n v="0"/>
    <n v="0"/>
    <n v="0"/>
    <s v="การชำระค่ารักษาพยาบาล"/>
    <s v="ปิดเคส - neutral"/>
    <d v="2025-10-06T00:00:00"/>
  </r>
  <r>
    <n v="87"/>
    <d v="2025-10-08T11:30:51"/>
    <d v="2025-10-08T11:33:56"/>
    <s v="anonymous"/>
    <n v="0"/>
    <x v="2"/>
    <d v="2025-09-26T00:00:00"/>
    <s v="ซันเดย์ 16599"/>
    <s v="สามีคุณ นุตธิดา"/>
    <s v="0982585582"/>
    <s v="VET"/>
    <x v="12"/>
    <x v="82"/>
    <s v="โทรแจ้งลูกค้าและขอโทษลูกค้าแล้ว ลูกค้าอยากขอคุยกับหมอเจ้าของไข้เพิ่มเติมเรื่อง treatment ที่ได้ทำไปทั้งหมด"/>
    <s v="0305"/>
    <s v="์ีนุ้ย"/>
    <s v="ต้อง"/>
    <s v="21250019871"/>
    <d v="2025-09-27T00:00:00"/>
    <s v="Credit card"/>
    <s v="คืนเงินลูกค้า (โอนคืน)"/>
    <s v="_x0009_Blood Supply &amp; Cross Matching (Outsourced) / Blood Supply &amp; Cross Matching  ฿22,000.00_x0009_"/>
    <s v="การชำระค่ารักษาพยาบาล"/>
    <s v="ปิดเคส - neutral"/>
    <d v="2025-10-07T00:00:00"/>
  </r>
  <r>
    <n v="88"/>
    <d v="2025-10-08T11:34:02"/>
    <d v="2025-10-08T14:02:15"/>
    <s v="anonymous"/>
    <n v="0"/>
    <x v="2"/>
    <d v="2025-10-07T00:00:00"/>
    <s v="ซามูไร 9719"/>
    <s v="้โบนุช ร้องเรียนแทน "/>
    <s v=".."/>
    <s v="NURSE IPD"/>
    <x v="10"/>
    <x v="83"/>
    <s v="โทรแจ้งลูกค้า ให้หมอ RM ช่วย Ultrasound "/>
    <s v="0305"/>
    <s v="โบนุช"/>
    <s v="ต้อง"/>
    <s v="ยังไม่ได้ Final bill  รบกวนKey  Damage ก่อนลูกค้าเข้ามารับน้อง"/>
    <d v="1899-12-30T00:00:00"/>
    <n v="0"/>
    <s v="Credit note"/>
    <s v="3 รายการ ค่าแพทย์ตรวจOPD2 หมอ RM 290.00, Ultrasound Afast  RM 100บ. ยาLactulose Syr (HEPATOLAC) - 25 ml 200บาท"/>
    <s v="การคีย์ Order"/>
    <s v="ปิดเคส - neutral"/>
    <d v="2025-10-08T00:00:00"/>
  </r>
  <r>
    <n v="89"/>
    <d v="2025-10-11T12:14:19"/>
    <d v="2025-10-11T12:39:44"/>
    <s v="anonymous"/>
    <n v="0"/>
    <x v="2"/>
    <d v="2025-09-23T00:00:00"/>
    <s v="ไข่ฟู (12650) "/>
    <s v="Google review  ธรรมนูญ ตันชัชวาล  (9025)"/>
    <s v="+66 84 691 3966 "/>
    <s v="VET"/>
    <x v="11"/>
    <x v="84"/>
    <s v="ตูนกับนุ้ยได้คุยกับเจ้าของก่อนที่จะ Discharge กลับไป และทางหมอเก้ที่เป็นหมอเจ้าของไข้ ได้คุยกับเจ้าของหลัง discharge และได้ส่ง Medical record ทั้งหมดให้กับทางเจ้าของค่ะ"/>
    <s v="0305"/>
    <s v="นุ้ย ตูน หมออีฟ"/>
    <s v="ไม่ต้อง"/>
    <n v="0"/>
    <d v="1899-12-30T00:00:00"/>
    <n v="0"/>
    <n v="0"/>
    <n v="0"/>
    <s v="การดูแล/รักษาผู้ป่วย - IPD"/>
    <s v="ปิดเคส - neutral"/>
    <d v="2025-10-08T00:00:00"/>
  </r>
  <r>
    <n v="90"/>
    <d v="2025-10-11T12:39:48"/>
    <d v="2025-10-11T13:00:40"/>
    <s v="anonymous"/>
    <n v="0"/>
    <x v="2"/>
    <d v="2025-09-28T00:00:00"/>
    <s v="ละมุนใจ (15941)"/>
    <s v="Google review -  กิรดา จิตงามสุจริต  (11345)"/>
    <s v="+66 62 892 3556 "/>
    <s v="FRONT"/>
    <x v="1"/>
    <x v="85"/>
    <s v="โทรขอโทษลูกค้า และ ได้ทำการคืนเงินค่าบริการอาบน้ำ"/>
    <s v="0305"/>
    <s v="โดนัท"/>
    <s v="ต้อง"/>
    <s v="21250019961"/>
    <d v="2025-09-28T00:00:00"/>
    <s v="QR code"/>
    <s v="คืนเงินลูกค้า (โอนคืน)"/>
    <s v="ค่าอาบน้ำ ค่ารถ Grab"/>
    <s v="การสื่อสารด้าน Cliinical"/>
    <s v="ปิดเคส - negative"/>
    <m/>
  </r>
  <r>
    <n v="91"/>
    <d v="2025-10-11T13:01:02"/>
    <d v="2025-10-11T13:04:05"/>
    <s v="anonymous"/>
    <n v="0"/>
    <x v="2"/>
    <d v="2025-08-01T00:00:00"/>
    <s v="ไม่ทราบ"/>
    <s v="Google review Chanodom Phongsitthinon"/>
    <s v="-"/>
    <s v="VET"/>
    <x v="2"/>
    <x v="86"/>
    <n v="0"/>
    <s v="0305"/>
    <s v="ไม่ทราบ"/>
    <s v="ไม่ต้อง"/>
    <n v="0"/>
    <d v="1899-12-30T00:00:00"/>
    <n v="0"/>
    <n v="0"/>
    <n v="0"/>
    <s v="การสื่อสารด้าน Non-Clinical"/>
    <s v="ติดต่อแล้ว - ดำเนินการชดเชยแล้ว"/>
    <d v="2025-09-29T00:00:00"/>
  </r>
  <r>
    <n v="92"/>
    <d v="2025-10-11T13:05:12"/>
    <d v="2025-10-11T13:07:06"/>
    <s v="anonymous"/>
    <n v="0"/>
    <x v="2"/>
    <d v="2025-06-01T00:00:00"/>
    <s v="ไม่ทราบ"/>
    <s v="Google review- mk19"/>
    <s v="-"/>
    <s v="CASHIER"/>
    <x v="1"/>
    <x v="87"/>
    <s v="-"/>
    <s v="0305"/>
    <s v="-"/>
    <s v="ไม่ต้อง"/>
    <n v="0"/>
    <d v="1899-12-30T00:00:00"/>
    <n v="0"/>
    <n v="0"/>
    <n v="0"/>
    <s v="การสื่อสารด้าน Cliinical"/>
    <s v="ยังไม่ได้ติดต่อ"/>
    <m/>
  </r>
  <r>
    <n v="93"/>
    <d v="2025-10-13T11:19:05"/>
    <d v="2025-10-13T11:37:55"/>
    <s v="anonymous"/>
    <n v="0"/>
    <x v="4"/>
    <d v="2025-10-10T00:00:00"/>
    <s v="ต้มต้ม17180"/>
    <s v="คุณกชลี สุรียะกำพล"/>
    <s v="0813720017"/>
    <s v="NURSE IPD"/>
    <x v="2"/>
    <x v="88"/>
    <s v="ไลน์ไปรับเรื่อง ขอโทษ ลค แจ้งขอโอกาสปรับปรุง(โทรไป3ครั้ง ลค ไม่รับสาย) เรียกอบรม พนง ที่เกี่ยวข้อง "/>
    <s v="0226"/>
    <s v="ปภิชญา"/>
    <s v="ไม่ต้อง"/>
    <n v="0"/>
    <d v="1899-12-30T00:00:00"/>
    <n v="0"/>
    <n v="0"/>
    <n v="0"/>
    <s v="การสื่อสารด้าน Non-Clinical"/>
    <s v="ยังไม่ได้ติดต่อ"/>
    <m/>
  </r>
  <r>
    <n v="94"/>
    <d v="2025-10-14T13:24:28"/>
    <d v="2025-10-14T13:27:42"/>
    <s v="anonymous"/>
    <n v="0"/>
    <x v="2"/>
    <d v="2025-10-12T00:00:00"/>
    <s v="Coco 8991"/>
    <s v="ตูน"/>
    <s v="0949941670"/>
    <s v="NURSE IPD"/>
    <x v="11"/>
    <x v="89"/>
    <s v="แจ้งหมอในเวรและหมอเจ้าไข้ กระตุ้นอาเจียนและทำ endo "/>
    <s v="0288"/>
    <s v="ตูน/ฝนรุ่ง/ขวัญ/แอน"/>
    <s v="ต้อง"/>
    <n v="0"/>
    <n v="0"/>
    <s v="Cash"/>
    <s v="ยกเลิก Invoices"/>
    <n v="0"/>
    <s v="การดูแล/รักษาผู้ป่วย - IPD"/>
    <m/>
    <m/>
  </r>
  <r>
    <n v="95"/>
    <d v="2025-10-14T15:17:43"/>
    <d v="2025-10-14T15:28:26"/>
    <s v="anonymous"/>
    <n v="0"/>
    <x v="2"/>
    <d v="2025-10-10T00:00:00"/>
    <s v="ยูโร"/>
    <s v="Google review-  Be Be"/>
    <s v="-"/>
    <s v="VET"/>
    <x v="14"/>
    <x v="90"/>
    <s v="พี่ส้มโอโทรคุยกับลูกค้า"/>
    <s v="0305"/>
    <s v="-"/>
    <s v="ไม่ต้อง"/>
    <n v="0"/>
    <d v="1899-12-30T00:00:00"/>
    <n v="0"/>
    <n v="0"/>
    <n v="0"/>
    <m/>
    <s v="ติดต่อแล้ว - ดำเนินการชดเชยแล้ว"/>
    <d v="2025-10-14T00:00:00"/>
  </r>
  <r>
    <n v="96"/>
    <d v="2025-10-14T15:45:52"/>
    <d v="2025-10-14T15:46:55"/>
    <s v="anonymous"/>
    <n v="0"/>
    <x v="2"/>
    <d v="2025-08-01T00:00:00"/>
    <s v="-"/>
    <s v="Google Review- Chanok"/>
    <s v="-"/>
    <s v="FRONT"/>
    <x v="2"/>
    <x v="91"/>
    <n v="0"/>
    <s v="0305"/>
    <s v="-"/>
    <s v="ไม่ต้อง"/>
    <n v="0"/>
    <d v="1899-12-30T00:00:00"/>
    <n v="0"/>
    <n v="0"/>
    <n v="0"/>
    <m/>
    <s v="ปิดเคส - negative"/>
    <d v="2025-10-10T00:00:00"/>
  </r>
  <r>
    <n v="97"/>
    <d v="2025-10-14T16:33:36"/>
    <d v="2025-10-14T18:28:35"/>
    <s v="anonymous"/>
    <n v="0"/>
    <x v="3"/>
    <d v="2025-09-14T00:00:00"/>
    <s v="Hippo (15757)"/>
    <s v="Jidapa"/>
    <s v="0842535137"/>
    <s v="VET"/>
    <x v="11"/>
    <x v="92"/>
    <s v="ได้มีการตกลงกับทีมหมอในกรณีต้องรอตรวจนาน อาจเสนอเบื้องต้นว่านำใบส่งตัวไปตรวจกับโรงพยาบาลอื่นได้หากได้คิวที่ดีกว่า เน้นมองที่ patient safety มากกว่าเดิม"/>
    <s v="1044"/>
    <s v="หมอ JR, JL, FHA, HAM"/>
    <s v="ไม่ต้อง"/>
    <n v="0"/>
    <d v="1899-12-30T00:00:00"/>
    <n v="0"/>
    <n v="0"/>
    <n v="0"/>
    <m/>
    <s v="ยังไม่ได้ติดต่อ"/>
    <m/>
  </r>
  <r>
    <n v="98"/>
    <d v="2025-10-14T18:28:39"/>
    <d v="2025-10-14T18:47:47"/>
    <s v="anonymous"/>
    <n v="0"/>
    <x v="3"/>
    <d v="2025-10-01T00:00:00"/>
    <s v="Mikki (8895)"/>
    <s v="Anatasiia Putsankova"/>
    <s v=" +66 81 738 2100"/>
    <s v="VET"/>
    <x v="3"/>
    <x v="93"/>
    <s v="หมอต้องแจ้งก่อนตรวจ ถ้ามีการเก็บตัวอย่างตรวจหลายตำแหน่งต่อให้อยู่ใกล้กันก็คิดราคาตามจำนวนตำแหน่งที่เก็บตรวจตามจริง และอาจให้ลูกค้าเซ็นรับทราบก่อนในกรณีที่เป็นต่างชาติและอาจไม่เข้าใจด้านภาษา"/>
    <s v="1044"/>
    <s v="หมอ KP และฟร้อนหนิง"/>
    <s v="ไม่ต้อง"/>
    <n v="0"/>
    <n v="0"/>
    <n v="0"/>
    <n v="0"/>
    <n v="0"/>
    <m/>
    <m/>
    <m/>
  </r>
  <r>
    <n v="99"/>
    <d v="2025-10-15T12:57:03"/>
    <d v="2025-10-15T13:00:46"/>
    <s v="anonymous"/>
    <n v="0"/>
    <x v="4"/>
    <d v="2025-10-08T00:00:00"/>
    <s v="Heart17110"/>
    <s v="ชิดชนก ก่อทวีชัย"/>
    <s v="0824629924"/>
    <s v="NURSE OPD"/>
    <x v="3"/>
    <x v="94"/>
    <s v="คุณหมอโทรคัยและขอโทษ จข ผจก แจ้ง หน เนริส ให้ตักเตือน และอบรมในแผนก"/>
    <s v="0226"/>
    <s v="พยบ บีม Vet Music"/>
    <s v="ไม่ต้อง"/>
    <n v="0"/>
    <n v="0"/>
    <n v="0"/>
    <n v="0"/>
    <n v="0"/>
    <m/>
    <m/>
    <m/>
  </r>
  <r>
    <n v="100"/>
    <d v="2025-10-16T14:51:26"/>
    <d v="2025-10-16T14:58:55"/>
    <s v="anonymous"/>
    <n v="0"/>
    <x v="2"/>
    <d v="2025-10-01T00:00:00"/>
    <s v="-"/>
    <s v="Google Review- Natnicha Ruangsumraj"/>
    <s v="-"/>
    <s v="GROOMING"/>
    <x v="3"/>
    <x v="95"/>
    <n v="0"/>
    <s v="0305"/>
    <s v="-"/>
    <s v="ไม่ต้อง"/>
    <n v="0"/>
    <n v="0"/>
    <n v="0"/>
    <n v="0"/>
    <n v="0"/>
    <m/>
    <m/>
    <m/>
  </r>
  <r>
    <n v="101"/>
    <d v="2025-10-16T15:05:54"/>
    <d v="2025-10-16T15:10:03"/>
    <s v="anonymous"/>
    <n v="0"/>
    <x v="2"/>
    <d v="2025-10-11T00:00:00"/>
    <s v="-"/>
    <s v="Brian Wilson"/>
    <s v="-"/>
    <s v=".Back Office/Support"/>
    <x v="2"/>
    <x v="96"/>
    <s v="โทรคุยกับลูกค้าแล้ว  offer ให้มาตรวจกับหมอแบงค์ ลค ขอตัดสินใจอีกทีค่ะ"/>
    <s v="0305"/>
    <s v="-"/>
    <s v="ไม่ต้อง"/>
    <n v="0"/>
    <d v="1899-12-30T00:00:00"/>
    <n v="0"/>
    <n v="0"/>
    <n v="0"/>
    <m/>
    <s v="ติดต่อแล้ว - รอลูกค้าตัดสินใจ"/>
    <d v="2025-10-22T00:00:00"/>
  </r>
  <r>
    <n v="102"/>
    <d v="2025-10-16T15:19:06"/>
    <d v="2025-10-16T15:22:12"/>
    <s v="anonymous"/>
    <n v="0"/>
    <x v="2"/>
    <d v="2025-10-16T00:00:00"/>
    <s v="Test"/>
    <s v="test"/>
    <s v="test"/>
    <s v="GROOMING"/>
    <x v="5"/>
    <x v="97"/>
    <s v="พี่หน่อยทีม Admni ติดต่อลูกค้าไปทาง Email แล้ว ลูกค้ายังไม่ตอบกลับค่ะ"/>
    <s v="test"/>
    <s v="test"/>
    <s v="ไม่ต้อง"/>
    <n v="0"/>
    <d v="1899-12-30T00:00:00"/>
    <n v="0"/>
    <n v="0"/>
    <n v="0"/>
    <m/>
    <s v="ติดต่อแล้ว - รอลูกค้าตัดสินใจ"/>
    <m/>
  </r>
  <r>
    <n v="103"/>
    <d v="2025-10-16T16:02:30"/>
    <d v="2025-10-16T16:08:33"/>
    <s v="anonymous"/>
    <n v="0"/>
    <x v="2"/>
    <d v="2025-09-28T00:00:00"/>
    <s v="ซันเดย์ (16599)"/>
    <s v=" นุตธิดา ไชยวสุ  (7596) "/>
    <s v="098 258 5582  "/>
    <s v="VET"/>
    <x v="15"/>
    <x v="98"/>
    <s v="แจ้งขอโทษลูกค้า"/>
    <s v="0305"/>
    <s v="นุ้ย ส้มโอ"/>
    <s v="ต้อง"/>
    <s v="draft"/>
    <d v="2025-09-28T00:00:00"/>
    <s v="Credit card"/>
    <s v="คืนเงินลูกค้า (เข้า Prepayment)"/>
    <s v="ค่าแพทย์อ่านXray   THORAX-VD (อก)   THORAX-RIGHT LAT (อก)   ABDOMEN-RIGHT LAT(ท้อง)   ABDOMEN-VD (ท้อง)   ค่าแพทย์เฉพาะด้านOPD3   ค่าแพทย์OnCall   ค่าแพทย์เฉพาะด้านOPD3   Ultrasound Abdomen  "/>
    <m/>
    <s v="ติดต่อแล้ว - ดำเนินการชดเชยแล้ว"/>
    <d v="2025-10-16T00:00:00"/>
  </r>
  <r>
    <n v="104"/>
    <d v="2025-10-20T14:58:50"/>
    <d v="2025-10-20T15:03:40"/>
    <s v="anonymous"/>
    <n v="0"/>
    <x v="2"/>
    <d v="2025-10-13T00:00:00"/>
    <s v="COCO 8991"/>
    <s v="ตูน พยาบาล"/>
    <s v="-"/>
    <s v="NURSE IPD"/>
    <x v="11"/>
    <x v="99"/>
    <s v="แจ้งลูกค้าและพาไป Ultrasound, คีบออก"/>
    <s v="ตูน"/>
    <s v="ตูน"/>
    <s v="ต้อง"/>
    <s v="21250021478"/>
    <d v="2025-10-14T00:00:00"/>
    <s v="Credit card"/>
    <n v="0"/>
    <s v="Damage with VAT 17023.32, Damage no VAT 703"/>
    <m/>
    <s v="ติดต่อแล้ว - ดำเนินการชดเชยแล้ว"/>
    <d v="2025-10-14T00:00:00"/>
  </r>
  <r>
    <n v="105"/>
    <d v="2025-10-20T15:04:09"/>
    <d v="2025-10-20T15:08:05"/>
    <s v="anonymous"/>
    <n v="0"/>
    <x v="2"/>
    <d v="2025-10-13T00:00:00"/>
    <s v="คิ้วเข้ม 14372"/>
    <s v="หมอป่าน"/>
    <s v="-"/>
    <s v="NURSE IPD"/>
    <x v="11"/>
    <x v="100"/>
    <s v="พาไป Ultrasound และให้ยาช่วยให้อาเจียน "/>
    <s v="หมอป่าน"/>
    <s v="หมอป่าน"/>
    <s v="ต้อง"/>
    <n v="0"/>
    <d v="1899-12-30T00:00:00"/>
    <s v="Credit card"/>
    <n v="0"/>
    <s v="ยอดรวม 4892.8"/>
    <m/>
    <s v="ติดต่อแล้ว - ดำเนินการชดเชยแล้ว"/>
    <d v="2025-10-14T00:00:00"/>
  </r>
  <r>
    <n v="106"/>
    <d v="2025-10-21T09:19:14"/>
    <d v="2025-10-21T09:22:33"/>
    <s v="anonymous"/>
    <n v="0"/>
    <x v="2"/>
    <d v="2025-10-20T00:00:00"/>
    <s v="อองรี"/>
    <s v="พิศุทธิ์"/>
    <s v="0963514151"/>
    <s v="VET"/>
    <x v="5"/>
    <x v="101"/>
    <s v="-"/>
    <s v="0107"/>
    <s v="กัน"/>
    <s v="ไม่ต้อง"/>
    <n v="0"/>
    <d v="1899-12-30T00:00:00"/>
    <n v="0"/>
    <n v="0"/>
    <n v="0"/>
    <m/>
    <s v="ปิดเคส - neutral"/>
    <d v="2025-10-21T00:00:00"/>
  </r>
  <r>
    <n v="107"/>
    <d v="2025-10-21T12:46:37"/>
    <d v="2025-10-21T12:53:24"/>
    <s v="anonymous"/>
    <n v="0"/>
    <x v="0"/>
    <d v="2025-08-18T00:00:00"/>
    <s v="Mocha (14466) "/>
    <s v="มนต์สนันตน์ วิทยพานิช"/>
    <s v="+66 92 264 3838"/>
    <s v="NURSE IPD"/>
    <x v="11"/>
    <x v="102"/>
    <s v="ทำความสะอาดและเสนอแนวทางการรักษาให้ แต่เจ้าของปฏิเสธและเลือกที่จะไปรักษากับ รพ. ที่รักษาประจำ "/>
    <s v="1021"/>
    <s v="หมอทราย"/>
    <s v="ไม่ต้อง"/>
    <n v="0"/>
    <n v="0"/>
    <n v="0"/>
    <n v="0"/>
    <n v="0"/>
    <m/>
    <s v="ติดต่อแล้ว - รอลูกค้าตัดสินใจ"/>
    <m/>
  </r>
  <r>
    <n v="108"/>
    <d v="2025-10-21T12:53:30"/>
    <d v="2025-10-21T13:02:16"/>
    <s v="anonymous"/>
    <n v="0"/>
    <x v="0"/>
    <d v="2025-05-19T00:00:00"/>
    <s v="-"/>
    <s v="ยังไม่เคยมาใช้บริการ"/>
    <s v="0946236624"/>
    <s v="FRONT"/>
    <x v="2"/>
    <x v="103"/>
    <s v="โทรสอบถามเพิ่มเติม และอธิบายให้ข้อมูลเจ้าของเพิ่ม เจ้าของรับฟัง"/>
    <s v="1021"/>
    <s v="0116"/>
    <s v="ไม่ต้อง"/>
    <n v="0"/>
    <n v="0"/>
    <n v="0"/>
    <n v="0"/>
    <n v="0"/>
    <m/>
    <m/>
    <m/>
  </r>
  <r>
    <n v="109"/>
    <d v="2025-10-21T13:02:19"/>
    <d v="2025-10-21T13:11:43"/>
    <s v="anonymous"/>
    <n v="0"/>
    <x v="0"/>
    <d v="2025-09-07T00:00:00"/>
    <s v="Mars (10330)"/>
    <s v=" Dallar (Shears)"/>
    <s v=" +66 61 021 3734"/>
    <s v=".Back Office/Support"/>
    <x v="9"/>
    <x v="104"/>
    <s v="โทรไปสอบถามอาการสัตว์เพิ่มเติม แต่เจ้าของด่าหยาบคายและแจ้งว่าไม่ต้องติดต่อกลับมาอีก"/>
    <s v="1021"/>
    <s v="0117"/>
    <s v="ไม่ต้อง"/>
    <n v="0"/>
    <n v="0"/>
    <n v="0"/>
    <n v="0"/>
    <n v="0"/>
    <m/>
    <m/>
    <m/>
  </r>
  <r>
    <n v="110"/>
    <d v="2025-10-21T13:11:53"/>
    <d v="2025-10-21T13:38:47"/>
    <s v="anonymous"/>
    <n v="0"/>
    <x v="0"/>
    <d v="2025-09-11T00:00:00"/>
    <s v="มีโชค (14653)"/>
    <s v="อิสรออิง มะลี  (10422) "/>
    <s v="+66 84 731 9631  มีโชค (14653)"/>
    <s v="VET"/>
    <x v="15"/>
    <x v="105"/>
    <s v="ติดต่อให้พากลับมาตรวจ แต่เจ้าของไปรักษาที่อื่นแล้ว"/>
    <s v="1021"/>
    <s v="หมอโบ๊ท"/>
    <s v="ไม่ต้อง"/>
    <n v="0"/>
    <n v="0"/>
    <n v="0"/>
    <n v="0"/>
    <n v="0"/>
    <m/>
    <m/>
    <m/>
  </r>
  <r>
    <n v="111"/>
    <d v="2025-10-22T14:46:24"/>
    <d v="2025-10-22T14:49:45"/>
    <s v="anonymous"/>
    <n v="0"/>
    <x v="4"/>
    <d v="2025-10-21T00:00:00"/>
    <s v="คุมะ1200"/>
    <s v="คุณสิริกาญจน์"/>
    <s v="0815713116"/>
    <s v="แม่บ้าน"/>
    <x v="11"/>
    <x v="106"/>
    <s v="ผจก โทรรีบข้อร้องเรียน แจ้งฝ่ายอาคารแก้ไข แจ้งแม่บ้านให้ปรับปรุงด้านความสะอาด"/>
    <s v="0226"/>
    <s v="นฤมล"/>
    <s v="ไม่ต้อง"/>
    <n v="0"/>
    <n v="0"/>
    <n v="0"/>
    <n v="0"/>
    <n v="0"/>
    <m/>
    <m/>
    <m/>
  </r>
  <r>
    <n v="112"/>
    <d v="2025-10-22T17:52:59"/>
    <d v="2025-10-22T17:58:42"/>
    <s v="anonymous"/>
    <n v="0"/>
    <x v="2"/>
    <d v="2025-10-22T00:00:00"/>
    <s v="-"/>
    <s v="Google review - เจ้าถุง ถุงทอง"/>
    <s v="-"/>
    <s v="CASHIER"/>
    <x v="12"/>
    <x v="107"/>
    <n v="0"/>
    <s v="0305"/>
    <s v="-"/>
    <s v="ไม่ต้อง"/>
    <n v="0"/>
    <n v="0"/>
    <n v="0"/>
    <n v="0"/>
    <n v="0"/>
    <m/>
    <m/>
    <m/>
  </r>
  <r>
    <n v="113"/>
    <d v="2025-10-24T08:42:30"/>
    <d v="2025-10-24T08:55:10"/>
    <s v="anonymous"/>
    <n v="0"/>
    <x v="2"/>
    <d v="2025-10-22T00:00:00"/>
    <s v="ชาล็อต (17136),อาร์โนลด์(15170)"/>
    <s v="นันทิกานต์  สิงหา"/>
    <s v="0846626635"/>
    <s v="PHARMACY"/>
    <x v="12"/>
    <x v="108"/>
    <n v="0"/>
    <s v="0276"/>
    <s v="เมทินี  ปานช่วย"/>
    <s v="ต้อง"/>
    <s v="20250022161/20250022160"/>
    <d v="2025-10-22T00:00:00"/>
    <s v="Credit card"/>
    <s v="คืนเงินลูกค้า (โอนคืน)"/>
    <s v="นันทิกานต์  สิงหา  ธนาคารกสิกรไทย 777-2-33858-3"/>
    <m/>
    <s v="ยังไม่ได้ติดต่อ"/>
    <m/>
  </r>
  <r>
    <n v="114"/>
    <d v="2025-10-29T10:39:35"/>
    <d v="2025-10-29T10:50:15"/>
    <s v="anonymous"/>
    <n v="0"/>
    <x v="2"/>
    <d v="2025-10-27T00:00:00"/>
    <s v="Shiro HN.1497"/>
    <s v="คุณพิณวรรณ"/>
    <s v="0873360699"/>
    <s v="VET"/>
    <x v="15"/>
    <x v="109"/>
    <s v="ให้น้องมาตรวจกับหมอAL (หัวหน้าหมอ)และให้หมออธิบายเรื่องการรักษาที่ผ่านมาอีกรอบ และวางแผนการรักษาต่อไป ครั้งนี้ไม่ได้คิดค่าใช้จ่ายในการรักษา"/>
    <s v="0190"/>
    <s v="รวิวรรณ"/>
    <s v="ไม่ต้อง"/>
    <n v="0"/>
    <d v="1899-12-30T00:00:00"/>
    <n v="0"/>
    <n v="0"/>
    <n v="0"/>
    <m/>
    <m/>
    <m/>
  </r>
  <r>
    <n v="115"/>
    <d v="2025-10-29T10:51:03"/>
    <d v="2025-10-29T10:56:25"/>
    <s v="anonymous"/>
    <n v="0"/>
    <x v="2"/>
    <d v="2025-10-27T00:00:00"/>
    <s v="เฉลิม 7419"/>
    <s v="คุณเอกนภา"/>
    <s v="0809456365"/>
    <s v="VET"/>
    <x v="3"/>
    <x v="110"/>
    <s v="หมอขอโทษลูกค้า และให้น้องAdmit ดูอาการ 2 วัน ทางรพ.ดูแลค่าใช้จ่ายที่น้องต้องAdmit"/>
    <s v="0190"/>
    <s v="รวิวรรณ"/>
    <s v="ไม่ต้อง"/>
    <n v="0"/>
    <d v="1899-12-30T00:00:00"/>
    <n v="0"/>
    <n v="0"/>
    <n v="0"/>
    <m/>
    <m/>
    <m/>
  </r>
  <r>
    <n v="116"/>
    <d v="2025-11-02T12:45:38"/>
    <d v="2025-11-02T12:54:53"/>
    <s v="anonymous"/>
    <n v="0"/>
    <x v="2"/>
    <d v="2025-11-02T00:00:00"/>
    <s v="บาร์ซ่า (17018) + ยูเว่ (17019) + ลัคกี้ (17017)"/>
    <s v="ศุภธีร์ ถ้วยงาม  (12064)"/>
    <s v="0954949365"/>
    <s v="GROOMING"/>
    <x v="3"/>
    <x v="111"/>
    <s v="ออกเอกสารแบบตรวจสุขภาพเบื้องต้นสาหรับสัตว์เลี้ยงที่เข้ารับบริการที่ไม่เกี่ยวข้องกับการรักษาให้เจ้าของลงข้อมูลของสัตว์เลี้ยง และพยาบาลจะทำการตรวจร่างกายเบื้อต้นและแสกนเอกสารส่งกลับให้ทางไลน์"/>
    <s v="แพรวา"/>
    <s v="แพรวา จ๋า ปอชาย"/>
    <s v="ไม่ต้อง"/>
    <n v="0"/>
    <d v="1899-12-30T00:00:00"/>
    <n v="0"/>
    <n v="0"/>
    <n v="0"/>
    <m/>
    <m/>
    <m/>
  </r>
  <r>
    <n v="117"/>
    <d v="2025-11-07T07:09:27"/>
    <d v="2025-11-07T07:12:39"/>
    <s v="anonymous"/>
    <n v="0"/>
    <x v="2"/>
    <d v="2025-10-31T00:00:00"/>
    <s v="โกโก้ (17184)"/>
    <s v=" กัญญาณัฐ พิชยเกียรติกุล  (12173)"/>
    <s v="089 892 8853"/>
    <s v="NURSE IPD"/>
    <x v="11"/>
    <x v="112"/>
    <s v="-"/>
    <s v="Front-Yo"/>
    <s v="Front-Yo"/>
    <s v="ไม่ต้อง"/>
    <n v="0"/>
    <d v="1899-12-30T00:00:00"/>
    <n v="0"/>
    <n v="0"/>
    <n v="0"/>
    <m/>
    <m/>
    <m/>
  </r>
  <r>
    <n v="118"/>
    <d v="2025-11-07T19:31:41"/>
    <d v="2025-11-07T19:48:44"/>
    <s v="anonymous"/>
    <n v="0"/>
    <x v="1"/>
    <d v="2025-11-07T00:00:00"/>
    <s v="18325"/>
    <s v="พนัชกร  เหขุนทด(พิม)"/>
    <s v="0625342626"/>
    <s v=".Back Office/Support"/>
    <x v="2"/>
    <x v="113"/>
    <n v="0"/>
    <s v="0300"/>
    <s v="Front ชัชชญา (แป้ง)"/>
    <s v="ไม่ต้อง"/>
    <n v="0"/>
    <d v="1899-12-30T00:00:00"/>
    <n v="0"/>
    <n v="0"/>
    <n v="0"/>
    <m/>
    <m/>
    <m/>
  </r>
  <r>
    <n v="119"/>
    <d v="2025-11-08T12:14:23"/>
    <d v="2025-11-08T12:37:28"/>
    <s v="anonymous"/>
    <n v="0"/>
    <x v="1"/>
    <d v="2025-11-07T00:00:00"/>
    <s v="Buffet 18325"/>
    <s v="ชัชชญา"/>
    <s v="0929945998"/>
    <s v=".Back Office/Support"/>
    <x v="5"/>
    <x v="114"/>
    <s v="แจ้งลูกค้าให้ตรวจเลือดก่อน แล้วให้กลับมาฝั่งไมโครชิฟวันถัดไปค่ะ"/>
    <s v="0259"/>
    <s v="หมอRCN พยาบาลจา "/>
    <s v="ไม่ต้อง"/>
    <n v="0"/>
    <d v="1899-12-30T00:00:00"/>
    <n v="0"/>
    <n v="0"/>
    <n v="0"/>
    <m/>
    <m/>
    <m/>
  </r>
  <r>
    <n v="120"/>
    <d v="2025-11-09T22:42:40"/>
    <d v="2025-11-09T22:44:49"/>
    <s v="anonymous"/>
    <n v="0"/>
    <x v="2"/>
    <d v="2025-11-09T00:00:00"/>
    <s v="ปุกปุย (8414)"/>
    <s v="ธัญลักษณ์ มหาสิงห์  (6021)"/>
    <s v="064 956 7678"/>
    <s v="CASHIER"/>
    <x v="7"/>
    <x v="115"/>
    <s v="-"/>
    <s v="."/>
    <s v="."/>
    <s v="ไม่ต้อง"/>
    <n v="0"/>
    <d v="1899-12-30T00:00:00"/>
    <n v="0"/>
    <n v="0"/>
    <n v="0"/>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r>
    <e v="#VALUE!"/>
    <e v="#VALUE!"/>
    <e v="#VALUE!"/>
    <e v="#VALUE!"/>
    <e v="#VALUE!"/>
    <x v="5"/>
    <e v="#VALUE!"/>
    <e v="#VALUE!"/>
    <e v="#VALUE!"/>
    <e v="#VALUE!"/>
    <e v="#VALUE!"/>
    <x v="16"/>
    <x v="116"/>
    <e v="#VALUE!"/>
    <e v="#VALUE!"/>
    <e v="#VALUE!"/>
    <e v="#VALUE!"/>
    <e v="#VALUE!"/>
    <e v="#VALUE!"/>
    <e v="#VALUE!"/>
    <e v="#VALUE!"/>
    <e v="#VALUE!"/>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F7641-918F-4458-86A2-C800EF77D1DC}" name="PivotTable1" cacheId="2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ต้องคืนเงินหรือไม่">
  <location ref="A3:B5" firstHeaderRow="1" firstDataRow="3" firstDataCol="1" rowPageCount="1" colPageCount="1"/>
  <pivotFields count="6">
    <pivotField axis="axisPage" allDrilled="1" showAll="0" dataSourceSort="1" defaultAttributeDrillState="1">
      <items count="1">
        <item t="default"/>
      </items>
    </pivotField>
    <pivotField axis="axisCol" allDrilled="1" showAll="0" dataSourceSort="1"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Col" allDrilled="1" showAll="0" dataSourceSort="1">
      <items count="2">
        <item s="1" x="0" e="0"/>
        <item t="default"/>
      </items>
    </pivotField>
    <pivotField axis="axisRow" allDrilled="1" showAll="0" dataSourceSort="1" defaultAttributeDrillState="1">
      <items count="2">
        <item x="0"/>
        <item t="default"/>
      </items>
    </pivotField>
    <pivotField dataField="1" subtotalTop="0" showAll="0" defaultSubtotal="0"/>
    <pivotField axis="axisRow" allDrilled="1" showAll="0" dataSourceSort="1" defaultAttributeDrillState="1">
      <items count="5">
        <item x="0"/>
        <item n="บริการ พอใช้ได้ นำสัตว์มารักษา ห้องพัก เตียงค่อนข้างสูง ถ้า สัตว์เราตัวใหญ่คงกระโดดขึ้นลงได้ แต่ก็ยังสูง ถ้าตัวเล็กหมดสิทธิ์ สัตว์จะลงไปฉี่ ลำบาก ในห้องนอน ไม่มี อะไรเลย มีแค่ตู้เย็น น้ำให้วันละ 3-4ขวด ห้องน้ำ มีแค่สบู่ล้างมือ และทิชชู่ เก็บเงินมัดจำล่วง" x="1"/>
        <item n="ค่าใช้จ่ายของอาร์โนลด์ (15170)เท่ากับ 10,006 บาท , ค่าใช้จ่ายของชาล็อต (17136)เท่ากับ 9,833.64 บาท รวมทั้งหมดจะเท่ากับ 19,839.64 บาท แต่ลูกค้าจ่ายเงินค่ามัดจำมาไว้แล้วตัวละ 6,500 บาทจะเท่ากับ 13,000 บาท ซึ่งจริงๆแล้วจะต้องเก็บเงินลูกค้าเพิ่ม 6,839.64 บาท" x="2"/>
        <item n="ลูกค้า email Complain เข้ามาแจ้งว่าตั้งใจมาขูดหินปูน ก่อนเข้ารับบริการ สัตวแพทย์ได้แจ้งว่าอาจมีการถอนฟันเพิ่มเติม โดยคิดราคา “ซี่ละ 1,000–3,000 บาท” ซึ่งดิฉันได้ปฏิเสธมาตลอด ไม่ต้องการให้ถอนฟัน เพราะเกรงว่าสุนัขจะเจ็บตัวโดยไม่จำเป็น และสัตวแพทย์ก็ยืนยันว" x="3"/>
        <item t="default"/>
      </items>
    </pivotField>
  </pivotFields>
  <rowFields count="2">
    <field x="3"/>
    <field x="5"/>
  </rowFields>
  <colFields count="2">
    <field x="2"/>
    <field x="1"/>
  </colFields>
  <pageFields count="1">
    <pageField fld="0" hier="5" name="[OfficeForms Table].[สาขาที่เข้ารับบริการ].&amp;[สาขาเพชรเกษม]" cap="สาขาเพชรเกษม"/>
  </pageFields>
  <dataFields count="1">
    <dataField name="Count of Id" fld="4" subtotal="count" baseField="3" baseItem="2"/>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ies>
  <pivotTableStyleInfo name="PivotStyleLight16" showRowHeaders="1" showColHeaders="1" showRowStripes="0" showColStripes="0" showLastColumn="1"/>
  <rowHierarchiesUsage count="2">
    <rowHierarchyUsage hierarchyUsage="10"/>
    <rowHierarchyUsage hierarchyUsage="12"/>
  </rowHierarchiesUsage>
  <colHierarchiesUsage count="2">
    <colHierarchyUsage hierarchyUsage="22"/>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รายงานข้อร้องเรียนลูกค้า (Customer Complain Report _ CC).xlsx!OfficeForms.Table">
        <x15:activeTabTopLevelEntity name="[OfficeForms 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8F404-4A95-4BE7-B551-684D186715B8}" name="PivotTable1"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1" firstHeaderRow="1" firstDataRow="1" firstDataCol="1"/>
  <pivotFields count="25">
    <pivotField dataField="1" showAll="0"/>
    <pivotField numFmtId="14" showAll="0"/>
    <pivotField numFmtId="14"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axis="axisRow" showAll="0">
      <items count="19">
        <item sd="0" x="10"/>
        <item m="1" x="17"/>
        <item x="13"/>
        <item x="4"/>
        <item x="12"/>
        <item x="11"/>
        <item x="3"/>
        <item x="0"/>
        <item x="8"/>
        <item sd="0" x="7"/>
        <item x="5"/>
        <item x="1"/>
        <item x="2"/>
        <item x="9"/>
        <item x="6"/>
        <item x="14"/>
        <item x="15"/>
        <item x="16"/>
        <item t="default"/>
      </items>
    </pivotField>
    <pivotField axis="axisRow" showAll="0">
      <items count="120">
        <item x="68"/>
        <item x="2"/>
        <item x="8"/>
        <item x="82"/>
        <item x="12"/>
        <item x="20"/>
        <item x="25"/>
        <item x="1"/>
        <item x="18"/>
        <item x="51"/>
        <item x="54"/>
        <item x="19"/>
        <item x="23"/>
        <item x="72"/>
        <item x="43"/>
        <item x="11"/>
        <item x="86"/>
        <item x="41"/>
        <item x="64"/>
        <item x="71"/>
        <item x="40"/>
        <item x="31"/>
        <item x="39"/>
        <item x="17"/>
        <item x="35"/>
        <item x="45"/>
        <item x="87"/>
        <item x="62"/>
        <item x="48"/>
        <item x="55"/>
        <item x="74"/>
        <item x="79"/>
        <item x="10"/>
        <item x="36"/>
        <item x="33"/>
        <item x="76"/>
        <item x="73"/>
        <item x="63"/>
        <item m="1" x="117"/>
        <item x="37"/>
        <item x="32"/>
        <item x="80"/>
        <item x="60"/>
        <item x="83"/>
        <item m="1" x="118"/>
        <item x="21"/>
        <item x="24"/>
        <item x="47"/>
        <item x="84"/>
        <item x="85"/>
        <item x="0"/>
        <item x="4"/>
        <item x="3"/>
        <item x="34"/>
        <item x="88"/>
        <item x="78"/>
        <item x="65"/>
        <item x="61"/>
        <item x="53"/>
        <item x="49"/>
        <item x="50"/>
        <item x="58"/>
        <item x="75"/>
        <item x="52"/>
        <item x="6"/>
        <item x="56"/>
        <item x="38"/>
        <item x="81"/>
        <item x="44"/>
        <item x="29"/>
        <item x="28"/>
        <item x="26"/>
        <item x="30"/>
        <item x="57"/>
        <item x="69"/>
        <item x="5"/>
        <item x="7"/>
        <item x="13"/>
        <item x="22"/>
        <item x="46"/>
        <item x="9"/>
        <item x="42"/>
        <item x="77"/>
        <item x="66"/>
        <item x="70"/>
        <item x="15"/>
        <item x="27"/>
        <item x="67"/>
        <item x="16"/>
        <item x="14"/>
        <item x="59"/>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3">
    <field x="11"/>
    <field x="5"/>
    <field x="12"/>
  </rowFields>
  <rowItems count="158">
    <i>
      <x/>
    </i>
    <i>
      <x v="2"/>
    </i>
    <i r="1">
      <x v="2"/>
    </i>
    <i r="2">
      <x v="35"/>
    </i>
    <i r="2">
      <x v="90"/>
    </i>
    <i r="1">
      <x v="3"/>
    </i>
    <i r="2">
      <x v="73"/>
    </i>
    <i>
      <x v="3"/>
    </i>
    <i r="1">
      <x v="2"/>
    </i>
    <i r="2">
      <x/>
    </i>
    <i r="2">
      <x v="6"/>
    </i>
    <i r="2">
      <x v="15"/>
    </i>
    <i r="2">
      <x v="18"/>
    </i>
    <i r="2">
      <x v="37"/>
    </i>
    <i r="2">
      <x v="56"/>
    </i>
    <i r="2">
      <x v="88"/>
    </i>
    <i>
      <x v="4"/>
    </i>
    <i r="1">
      <x v="2"/>
    </i>
    <i r="2">
      <x v="3"/>
    </i>
    <i r="2">
      <x v="29"/>
    </i>
    <i r="2">
      <x v="67"/>
    </i>
    <i r="2">
      <x v="83"/>
    </i>
    <i r="2">
      <x v="109"/>
    </i>
    <i r="2">
      <x v="110"/>
    </i>
    <i>
      <x v="5"/>
    </i>
    <i r="1">
      <x/>
    </i>
    <i r="2">
      <x v="104"/>
    </i>
    <i r="1">
      <x v="2"/>
    </i>
    <i r="2">
      <x v="24"/>
    </i>
    <i r="2">
      <x v="28"/>
    </i>
    <i r="2">
      <x v="48"/>
    </i>
    <i r="2">
      <x v="55"/>
    </i>
    <i r="2">
      <x v="91"/>
    </i>
    <i r="2">
      <x v="101"/>
    </i>
    <i r="2">
      <x v="102"/>
    </i>
    <i r="2">
      <x v="114"/>
    </i>
    <i r="1">
      <x v="3"/>
    </i>
    <i r="2">
      <x v="94"/>
    </i>
    <i r="1">
      <x v="4"/>
    </i>
    <i r="2">
      <x v="42"/>
    </i>
    <i r="2">
      <x v="108"/>
    </i>
    <i>
      <x v="6"/>
    </i>
    <i r="1">
      <x v="1"/>
    </i>
    <i r="2">
      <x v="82"/>
    </i>
    <i r="1">
      <x v="2"/>
    </i>
    <i r="2">
      <x v="2"/>
    </i>
    <i r="2">
      <x v="12"/>
    </i>
    <i r="2">
      <x v="31"/>
    </i>
    <i r="2">
      <x v="47"/>
    </i>
    <i r="2">
      <x v="77"/>
    </i>
    <i r="2">
      <x v="85"/>
    </i>
    <i r="2">
      <x v="89"/>
    </i>
    <i r="2">
      <x v="97"/>
    </i>
    <i r="2">
      <x v="112"/>
    </i>
    <i r="2">
      <x v="113"/>
    </i>
    <i r="1">
      <x v="3"/>
    </i>
    <i r="2">
      <x v="86"/>
    </i>
    <i r="2">
      <x v="95"/>
    </i>
    <i r="1">
      <x v="4"/>
    </i>
    <i r="2">
      <x v="33"/>
    </i>
    <i r="2">
      <x v="96"/>
    </i>
    <i>
      <x v="7"/>
    </i>
    <i r="1">
      <x/>
    </i>
    <i r="2">
      <x v="50"/>
    </i>
    <i>
      <x v="8"/>
    </i>
    <i r="1">
      <x v="3"/>
    </i>
    <i r="2">
      <x v="70"/>
    </i>
    <i>
      <x v="9"/>
    </i>
    <i>
      <x v="10"/>
    </i>
    <i r="1">
      <x v="1"/>
    </i>
    <i r="2">
      <x v="116"/>
    </i>
    <i r="1">
      <x v="2"/>
    </i>
    <i r="2">
      <x v="4"/>
    </i>
    <i r="2">
      <x v="5"/>
    </i>
    <i r="2">
      <x v="13"/>
    </i>
    <i r="2">
      <x v="17"/>
    </i>
    <i r="2">
      <x v="23"/>
    </i>
    <i r="2">
      <x v="36"/>
    </i>
    <i r="2">
      <x v="46"/>
    </i>
    <i r="2">
      <x v="58"/>
    </i>
    <i r="2">
      <x v="62"/>
    </i>
    <i r="2">
      <x v="99"/>
    </i>
    <i r="2">
      <x v="103"/>
    </i>
    <i>
      <x v="11"/>
    </i>
    <i r="1">
      <x v="1"/>
    </i>
    <i r="2">
      <x v="7"/>
    </i>
    <i r="1">
      <x v="2"/>
    </i>
    <i r="2">
      <x v="11"/>
    </i>
    <i r="2">
      <x v="20"/>
    </i>
    <i r="2">
      <x v="26"/>
    </i>
    <i r="2">
      <x v="49"/>
    </i>
    <i r="2">
      <x v="59"/>
    </i>
    <i r="2">
      <x v="65"/>
    </i>
    <i r="2">
      <x v="80"/>
    </i>
    <i r="1">
      <x v="4"/>
    </i>
    <i r="2">
      <x v="39"/>
    </i>
    <i>
      <x v="12"/>
    </i>
    <i r="1">
      <x/>
    </i>
    <i r="2">
      <x v="105"/>
    </i>
    <i r="1">
      <x v="1"/>
    </i>
    <i r="2">
      <x v="40"/>
    </i>
    <i r="2">
      <x v="115"/>
    </i>
    <i r="1">
      <x v="2"/>
    </i>
    <i r="2">
      <x v="1"/>
    </i>
    <i r="2">
      <x v="8"/>
    </i>
    <i r="2">
      <x v="16"/>
    </i>
    <i r="2">
      <x v="27"/>
    </i>
    <i r="2">
      <x v="32"/>
    </i>
    <i r="2">
      <x v="51"/>
    </i>
    <i r="2">
      <x v="52"/>
    </i>
    <i r="2">
      <x v="60"/>
    </i>
    <i r="2">
      <x v="63"/>
    </i>
    <i r="2">
      <x v="64"/>
    </i>
    <i r="2">
      <x v="71"/>
    </i>
    <i r="2">
      <x v="75"/>
    </i>
    <i r="2">
      <x v="76"/>
    </i>
    <i r="2">
      <x v="81"/>
    </i>
    <i r="2">
      <x v="93"/>
    </i>
    <i r="2">
      <x v="98"/>
    </i>
    <i r="1">
      <x v="4"/>
    </i>
    <i r="2">
      <x v="54"/>
    </i>
    <i>
      <x v="13"/>
    </i>
    <i r="1">
      <x/>
    </i>
    <i r="2">
      <x v="106"/>
    </i>
    <i r="1">
      <x v="2"/>
    </i>
    <i r="2">
      <x v="21"/>
    </i>
    <i r="1">
      <x v="3"/>
    </i>
    <i r="2">
      <x v="69"/>
    </i>
    <i r="2">
      <x v="72"/>
    </i>
    <i>
      <x v="14"/>
    </i>
    <i r="1">
      <x/>
    </i>
    <i r="2">
      <x v="68"/>
    </i>
    <i r="1">
      <x v="1"/>
    </i>
    <i r="2">
      <x v="25"/>
    </i>
    <i r="1">
      <x v="2"/>
    </i>
    <i r="2">
      <x v="10"/>
    </i>
    <i r="2">
      <x v="34"/>
    </i>
    <i r="2">
      <x v="57"/>
    </i>
    <i r="2">
      <x v="61"/>
    </i>
    <i r="2">
      <x v="66"/>
    </i>
    <i r="1">
      <x v="3"/>
    </i>
    <i r="2">
      <x v="45"/>
    </i>
    <i r="1">
      <x v="4"/>
    </i>
    <i r="2">
      <x v="22"/>
    </i>
    <i r="2">
      <x v="79"/>
    </i>
    <i>
      <x v="15"/>
    </i>
    <i r="1">
      <x v="2"/>
    </i>
    <i r="2">
      <x v="92"/>
    </i>
    <i>
      <x v="16"/>
    </i>
    <i r="1">
      <x/>
    </i>
    <i r="2">
      <x v="107"/>
    </i>
    <i r="1">
      <x v="2"/>
    </i>
    <i r="2">
      <x v="100"/>
    </i>
    <i r="2">
      <x v="111"/>
    </i>
    <i>
      <x v="17"/>
    </i>
    <i r="1">
      <x v="5"/>
    </i>
    <i r="2">
      <x v="118"/>
    </i>
    <i t="grand">
      <x/>
    </i>
  </rowItems>
  <colItems count="1">
    <i/>
  </colItems>
  <dataFields count="1">
    <dataField name="Count of Id" fld="0" subtotal="count" baseField="21"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V189" totalsRowShown="0">
  <autoFilter ref="A1:V189" xr:uid="{00000000-0009-0000-0100-000001000000}">
    <filterColumn colId="1">
      <filters>
        <dateGroupItem year="2026" month="4" dateTimeGrouping="month"/>
      </filters>
    </filterColumn>
    <filterColumn colId="2">
      <filters>
        <dateGroupItem year="2026" dateTimeGrouping="year"/>
      </filters>
    </filterColumn>
    <filterColumn colId="5">
      <filters>
        <filter val="สาขาทองหล่อ"/>
      </filters>
    </filterColumn>
  </autoFilter>
  <sortState xmlns:xlrd2="http://schemas.microsoft.com/office/spreadsheetml/2017/richdata2" ref="A2:V179">
    <sortCondition ref="F1:F179"/>
  </sortState>
  <tableColumns count="22">
    <tableColumn id="1" xr3:uid="{00000000-0010-0000-0000-000001000000}" name="Id" dataDxfId="46">
      <extLst>
        <ext xmlns:xlmsforms="http://schemas.microsoft.com/office/spreadsheetml/2023/msForms" uri="{FCC71383-01E1-4257-9335-427F07BE8D7F}">
          <xlmsforms:question id="id"/>
        </ext>
      </extLst>
    </tableColumn>
    <tableColumn id="2" xr3:uid="{00000000-0010-0000-0000-000002000000}" name="Start time" dataDxfId="45">
      <extLst>
        <ext xmlns:xlmsforms="http://schemas.microsoft.com/office/spreadsheetml/2023/msForms" uri="{FCC71383-01E1-4257-9335-427F07BE8D7F}">
          <xlmsforms:question id="startDate"/>
        </ext>
      </extLst>
    </tableColumn>
    <tableColumn id="3" xr3:uid="{00000000-0010-0000-0000-000003000000}" name="Completion time" dataDxfId="44">
      <extLst>
        <ext xmlns:xlmsforms="http://schemas.microsoft.com/office/spreadsheetml/2023/msForms" uri="{FCC71383-01E1-4257-9335-427F07BE8D7F}">
          <xlmsforms:question id="submitDate"/>
        </ext>
      </extLst>
    </tableColumn>
    <tableColumn id="4" xr3:uid="{00000000-0010-0000-0000-000004000000}" name="Email" dataDxfId="43">
      <extLst>
        <ext xmlns:xlmsforms="http://schemas.microsoft.com/office/spreadsheetml/2023/msForms" uri="{FCC71383-01E1-4257-9335-427F07BE8D7F}">
          <xlmsforms:question id="responder"/>
        </ext>
      </extLst>
    </tableColumn>
    <tableColumn id="5" xr3:uid="{00000000-0010-0000-0000-000005000000}" name="Name" dataDxfId="42">
      <extLst>
        <ext xmlns:xlmsforms="http://schemas.microsoft.com/office/spreadsheetml/2023/msForms" uri="{FCC71383-01E1-4257-9335-427F07BE8D7F}">
          <xlmsforms:question id="responderName"/>
        </ext>
      </extLst>
    </tableColumn>
    <tableColumn id="6" xr3:uid="{00000000-0010-0000-0000-000006000000}" name="สาขาที่เข้ารับบริการ" dataDxfId="41">
      <extLst>
        <ext xmlns:xlmsforms="http://schemas.microsoft.com/office/spreadsheetml/2023/msForms" uri="{FCC71383-01E1-4257-9335-427F07BE8D7F}">
          <xlmsforms:question id="rcb0ad5b787564d78bd08cf8238ce75a7"/>
        </ext>
      </extLst>
    </tableColumn>
    <tableColumn id="7" xr3:uid="{00000000-0010-0000-0000-000007000000}" name="วันที่เกิดเหตุ">
      <extLst>
        <ext xmlns:xlmsforms="http://schemas.microsoft.com/office/spreadsheetml/2023/msForms" uri="{FCC71383-01E1-4257-9335-427F07BE8D7F}">
          <xlmsforms:question id="rbc8192ecc5624f85ae0f0eb70157dd58"/>
        </ext>
      </extLst>
    </tableColumn>
    <tableColumn id="8" xr3:uid="{00000000-0010-0000-0000-000008000000}" name="ชื่อสัตว์เลี้ยง หรือ HN สัตว์เลี้ยง" dataDxfId="40">
      <extLst>
        <ext xmlns:xlmsforms="http://schemas.microsoft.com/office/spreadsheetml/2023/msForms" uri="{FCC71383-01E1-4257-9335-427F07BE8D7F}">
          <xlmsforms:question id="rbadc6e997bce43dd98c36caa7b686186"/>
        </ext>
      </extLst>
    </tableColumn>
    <tableColumn id="9" xr3:uid="{00000000-0010-0000-0000-000009000000}" name="ชื่อผู้ร้องเรียน" dataDxfId="39">
      <extLst>
        <ext xmlns:xlmsforms="http://schemas.microsoft.com/office/spreadsheetml/2023/msForms" uri="{FCC71383-01E1-4257-9335-427F07BE8D7F}">
          <xlmsforms:question id="r788e0972290c4036af550eff3bb3e601"/>
        </ext>
      </extLst>
    </tableColumn>
    <tableColumn id="10" xr3:uid="{00000000-0010-0000-0000-00000A000000}" name="เบอร์โทรศัพท์ผู้ร้องเรียน" dataDxfId="38">
      <extLst>
        <ext xmlns:xlmsforms="http://schemas.microsoft.com/office/spreadsheetml/2023/msForms" uri="{FCC71383-01E1-4257-9335-427F07BE8D7F}">
          <xlmsforms:question id="rbd0837beaaff4ffcab0450f305984feb"/>
        </ext>
      </extLst>
    </tableColumn>
    <tableColumn id="18" xr3:uid="{F8D5F908-AD8B-48A7-89A7-492B42871117}" name="หน่วยงานที่ถูกร้องเรียน" dataDxfId="37">
      <extLst>
        <ext xmlns:xlmsforms="http://schemas.microsoft.com/office/spreadsheetml/2023/msForms" uri="{FCC71383-01E1-4257-9335-427F07BE8D7F}">
          <xlmsforms:question id="r6cbda39e38ec4901b17a2a964e127efd"/>
        </ext>
      </extLst>
    </tableColumn>
    <tableColumn id="22" xr3:uid="{3FB81A1E-D9F3-4E00-93CE-9238D67F3353}" name="กระบวนการที่ถูก Complain" dataDxfId="36">
      <extLst>
        <ext xmlns:xlmsforms="http://schemas.microsoft.com/office/spreadsheetml/2023/msForms" uri="{FCC71383-01E1-4257-9335-427F07BE8D7F}">
          <xlmsforms:question id="r37c884b24550426ba459777965a365e8"/>
        </ext>
      </extLst>
    </tableColumn>
    <tableColumn id="11" xr3:uid="{00000000-0010-0000-0000-00000B000000}" name="รายละเอียดข้อร้องเรียน" dataDxfId="35">
      <extLst>
        <ext xmlns:xlmsforms="http://schemas.microsoft.com/office/spreadsheetml/2023/msForms" uri="{FCC71383-01E1-4257-9335-427F07BE8D7F}">
          <xlmsforms:question id="rd6cdf7e79553483997aea7c95abbb679"/>
        </ext>
      </extLst>
    </tableColumn>
    <tableColumn id="12" xr3:uid="{CC91FBB9-F876-41E0-B624-A9FAFFF4E9B1}" name="การแก้ไขเบื้องต้น (ถ้ามี)" dataDxfId="34">
      <extLst>
        <ext xmlns:xlmsforms="http://schemas.microsoft.com/office/spreadsheetml/2023/msForms" uri="{FCC71383-01E1-4257-9335-427F07BE8D7F}">
          <xlmsforms:question id="r1bf2a6b663e54d30995239a9e06ecef2"/>
        </ext>
      </extLst>
    </tableColumn>
    <tableColumn id="13" xr3:uid="{F2E6448D-76D8-42F4-AA46-26DD84B369EA}" name="รหัสพนักงานผู้รายงาน (เพื่อสอบถามข้อมูลเพิ่มเติม)" dataDxfId="33">
      <extLst>
        <ext xmlns:xlmsforms="http://schemas.microsoft.com/office/spreadsheetml/2023/msForms" uri="{FCC71383-01E1-4257-9335-427F07BE8D7F}">
          <xlmsforms:question id="r007e4ff7ea8042c89620d9ae77e2dbe2"/>
        </ext>
      </extLst>
    </tableColumn>
    <tableColumn id="14" xr3:uid="{A1346C20-AF31-4424-B5C7-86F51326033F}" name="ชื่อพนักงานที่อยู่ในเหตุการณ์" dataDxfId="32">
      <extLst>
        <ext xmlns:xlmsforms="http://schemas.microsoft.com/office/spreadsheetml/2023/msForms" uri="{FCC71383-01E1-4257-9335-427F07BE8D7F}">
          <xlmsforms:question id="r117b76b738894c60b6ba288510245978"/>
        </ext>
      </extLst>
    </tableColumn>
    <tableColumn id="15" xr3:uid="{0CBCB1D1-AC9D-4D65-BFAC-3CBBC9EC5C6A}" name="ต้องคืนเงิน/ Credit note ลูกค้าหรือไม่" dataDxfId="31">
      <extLst>
        <ext xmlns:xlmsforms="http://schemas.microsoft.com/office/spreadsheetml/2023/msForms" uri="{FCC71383-01E1-4257-9335-427F07BE8D7F}">
          <xlmsforms:question id="r9cadb9ab7bff4150afa9c1b38a8caa27"/>
        </ext>
      </extLst>
    </tableColumn>
    <tableColumn id="16" xr3:uid="{A74FBEEE-71FD-4B61-9E18-339FBE379A8B}" name="Invoice#/ Prepayment#" dataDxfId="30">
      <extLst>
        <ext xmlns:xlmsforms="http://schemas.microsoft.com/office/spreadsheetml/2023/msForms" uri="{FCC71383-01E1-4257-9335-427F07BE8D7F}">
          <xlmsforms:question id="r6eb283b96c5c4ab5a9c5a382990ebf89"/>
        </ext>
      </extLst>
    </tableColumn>
    <tableColumn id="19" xr3:uid="{FEEF3959-7294-4FB0-A625-D1F724B4D658}" name="วันที่รับเงิน">
      <extLst>
        <ext xmlns:xlmsforms="http://schemas.microsoft.com/office/spreadsheetml/2023/msForms" uri="{FCC71383-01E1-4257-9335-427F07BE8D7F}">
          <xlmsforms:question id="rd1702eb75b1d43dea62415e5bd9030db"/>
        </ext>
      </extLst>
    </tableColumn>
    <tableColumn id="20" xr3:uid="{AFEE9D17-62C0-4C94-9681-5B072721A82A}" name="ชำระโดย" dataDxfId="29">
      <extLst>
        <ext xmlns:xlmsforms="http://schemas.microsoft.com/office/spreadsheetml/2023/msForms" uri="{FCC71383-01E1-4257-9335-427F07BE8D7F}">
          <xlmsforms:question id="r7d7541a342f9427bbc33dca1c26eb56a"/>
        </ext>
      </extLst>
    </tableColumn>
    <tableColumn id="21" xr3:uid="{3AF0F4EA-44B9-4C64-9367-1906317241C5}" name="ต้อง Adjust หรือ คืนเงินลูกค้าทางช่องทางใด" dataDxfId="28">
      <extLst>
        <ext xmlns:xlmsforms="http://schemas.microsoft.com/office/spreadsheetml/2023/msForms" uri="{FCC71383-01E1-4257-9335-427F07BE8D7F}">
          <xlmsforms:question id="r577bacb9ec7641d4978bf3a1d68d3ad1"/>
        </ext>
      </extLst>
    </tableColumn>
    <tableColumn id="17" xr3:uid="{12763BFD-7363-472C-A2CF-0236401119F4}" name="ชื่อรายการที่ต้องคืน และมูลค่า (รวม VAT)" dataDxfId="27">
      <extLst>
        <ext xmlns:xlmsforms="http://schemas.microsoft.com/office/spreadsheetml/2023/msForms" uri="{FCC71383-01E1-4257-9335-427F07BE8D7F}">
          <xlmsforms:question id="rc1fce710babc4541a9d7a7c80fcf3e05"/>
        </ext>
      </extLst>
    </tableColumn>
  </tableColumns>
  <tableStyleInfo name="TableStyleMedium2" showFirstColumn="0" showLastColumn="0" showRowStripes="1" showColumnStripes="0"/>
  <extLst>
    <ext xmlns:xlmsforms="http://schemas.microsoft.com/office/spreadsheetml/2023/msForms" uri="{839C7E11-91E4-4DBD-9C5D-0DEA604FA9AC}">
      <xlmsforms:msForm id="D-oWeW3jJEyQCNwnS2OIccHh8aXbxeBLlmm68kh7cvhUN05OT0paOE4xMjhDV0RVMjg0WlFOTDRSRSQlQCN0PWcu" isFormConnected="1" maxResponseId="191" latestEventMarker="22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rcb0ad5b787564d78bd08cf8238ce75a7</xlmsforms:syncedQuestionId>
        <xlmsforms:syncedQuestionId>rbc8192ecc5624f85ae0f0eb70157dd58</xlmsforms:syncedQuestionId>
        <xlmsforms:syncedQuestionId>rbadc6e997bce43dd98c36caa7b686186</xlmsforms:syncedQuestionId>
        <xlmsforms:syncedQuestionId>r788e0972290c4036af550eff3bb3e601</xlmsforms:syncedQuestionId>
        <xlmsforms:syncedQuestionId>rbd0837beaaff4ffcab0450f305984feb</xlmsforms:syncedQuestionId>
        <xlmsforms:syncedQuestionId>rd6cdf7e79553483997aea7c95abbb679</xlmsforms:syncedQuestionId>
        <xlmsforms:syncedQuestionId>r1bf2a6b663e54d30995239a9e06ecef2</xlmsforms:syncedQuestionId>
        <xlmsforms:syncedQuestionId>r007e4ff7ea8042c89620d9ae77e2dbe2</xlmsforms:syncedQuestionId>
        <xlmsforms:syncedQuestionId>r117b76b738894c60b6ba288510245978</xlmsforms:syncedQuestionId>
        <xlmsforms:syncedQuestionId>r9cadb9ab7bff4150afa9c1b38a8caa27</xlmsforms:syncedQuestionId>
        <xlmsforms:syncedQuestionId>r6eb283b96c5c4ab5a9c5a382990ebf89</xlmsforms:syncedQuestionId>
        <xlmsforms:syncedQuestionId>rc1fce710babc4541a9d7a7c80fcf3e05</xlmsforms:syncedQuestionId>
        <xlmsforms:syncedQuestionId>r6cbda39e38ec4901b17a2a964e127efd</xlmsforms:syncedQuestionId>
        <xlmsforms:syncedQuestionId>rd1702eb75b1d43dea62415e5bd9030db</xlmsforms:syncedQuestionId>
        <xlmsforms:syncedQuestionId>r7d7541a342f9427bbc33dca1c26eb56a</xlmsforms:syncedQuestionId>
        <xlmsforms:syncedQuestionId>r577bacb9ec7641d4978bf3a1d68d3ad1</xlmsforms:syncedQuestionId>
        <xlmsforms:syncedQuestionId>r37c884b24550426ba459777965a365e8</xlmsforms:syncedQuestionId>
      </xlmsforms:msForm>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102092-E65D-4DF6-A1F8-4C9D9F8189F4}" name="Table2" displayName="Table2" ref="A1:Y130" totalsRowShown="0" headerRowDxfId="26" dataDxfId="25">
  <autoFilter ref="A1:Y130" xr:uid="{FE102092-E65D-4DF6-A1F8-4C9D9F8189F4}">
    <filterColumn colId="6">
      <dynamicFilter type="lastMonth" val="45992" maxVal="46023"/>
    </filterColumn>
  </autoFilter>
  <tableColumns count="25">
    <tableColumn id="1" xr3:uid="{9B012B8B-E3CB-4397-80AB-DC9D305EDA83}" name="Id" dataDxfId="24">
      <calculatedColumnFormula>OfficeForms.Table[[#This Row],[Id]]</calculatedColumnFormula>
    </tableColumn>
    <tableColumn id="2" xr3:uid="{168BC51A-4935-4D73-83FF-3CE54EBCE3FE}" name="Start time" dataDxfId="23">
      <calculatedColumnFormula>OfficeForms.Table[[#This Row],[Start time]]</calculatedColumnFormula>
    </tableColumn>
    <tableColumn id="3" xr3:uid="{75DF154C-82AC-484F-BF2D-AE35DCD9CAFD}" name="Completion time" dataDxfId="22">
      <calculatedColumnFormula>OfficeForms.Table[[#This Row],[Completion time]]</calculatedColumnFormula>
    </tableColumn>
    <tableColumn id="4" xr3:uid="{9771AEB2-4D28-423E-B078-9CBF2C2C6827}" name="Email" dataDxfId="21">
      <calculatedColumnFormula>OfficeForms.Table[[#This Row],[Email]]</calculatedColumnFormula>
    </tableColumn>
    <tableColumn id="5" xr3:uid="{EDBBDD3E-E3E5-4056-887B-E23DBD62AA02}" name="Name" dataDxfId="20">
      <calculatedColumnFormula>OfficeForms.Table[[#This Row],[Name]]</calculatedColumnFormula>
    </tableColumn>
    <tableColumn id="6" xr3:uid="{C94EFC79-A9AE-444A-AC09-D2DFE882874A}" name="สาขาที่เข้ารับบริการ" dataDxfId="19">
      <calculatedColumnFormula>OfficeForms.Table[[#This Row],[สาขาที่เข้ารับบริการ]]</calculatedColumnFormula>
    </tableColumn>
    <tableColumn id="7" xr3:uid="{4EA6385D-80CF-4301-B297-07260B99D8D6}" name="วันที่เกิดเหตุ" dataDxfId="18">
      <calculatedColumnFormula>OfficeForms.Table[[#This Row],[วันที่เกิดเหตุ]]</calculatedColumnFormula>
    </tableColumn>
    <tableColumn id="8" xr3:uid="{2A0B0783-1C98-4ECC-A91C-A0DF48001C5F}" name="ชื่อสัตว์เลี้ยง หรือ HN สัตว์เลี้ยง" dataDxfId="17">
      <calculatedColumnFormula>OfficeForms.Table[[#This Row],[ชื่อสัตว์เลี้ยง หรือ HN สัตว์เลี้ยง]]</calculatedColumnFormula>
    </tableColumn>
    <tableColumn id="9" xr3:uid="{2DFC335D-6AF7-4FE9-B310-0D424028E860}" name="ชื่อผู้ร้องเรียน" dataDxfId="16">
      <calculatedColumnFormula>OfficeForms.Table[[#This Row],[ชื่อผู้ร้องเรียน]]</calculatedColumnFormula>
    </tableColumn>
    <tableColumn id="10" xr3:uid="{92E1D622-DA24-4750-947B-E8382A17E0A8}" name="เบอร์โทรศัพท์ผู้ร้องเรียน" dataDxfId="15">
      <calculatedColumnFormula>OfficeForms.Table[[#This Row],[เบอร์โทรศัพท์ผู้ร้องเรียน]]</calculatedColumnFormula>
    </tableColumn>
    <tableColumn id="11" xr3:uid="{04EEB576-0446-42D5-B2FB-164A75BBE30A}" name="หน่วยงานที่ถูกร้องเรียน" dataDxfId="14">
      <calculatedColumnFormula>OfficeForms.Table[[#This Row],[หน่วยงานที่ถูกร้องเรียน]]</calculatedColumnFormula>
    </tableColumn>
    <tableColumn id="12" xr3:uid="{585EC7DC-C78F-4A1A-9029-4C05F788D5FB}" name="กระบวนการที่ถูก Complain" dataDxfId="13">
      <calculatedColumnFormula>OfficeForms.Table[[#This Row],[กระบวนการที่ถูก Complain]]</calculatedColumnFormula>
    </tableColumn>
    <tableColumn id="13" xr3:uid="{187FC0FF-1E85-4871-A616-196D6A01D98C}" name="รายละเอียดข้อร้องเรียน" dataDxfId="12">
      <calculatedColumnFormula>OfficeForms.Table[[#This Row],[รายละเอียดข้อร้องเรียน]]</calculatedColumnFormula>
    </tableColumn>
    <tableColumn id="14" xr3:uid="{47FD4527-452A-472C-A4C3-44E10D14B32E}" name="การแก้ไขเบื้องต้น (ถ้ามี)" dataDxfId="11">
      <calculatedColumnFormula>OfficeForms.Table[[#This Row],[การแก้ไขเบื้องต้น (ถ้ามี)]]</calculatedColumnFormula>
    </tableColumn>
    <tableColumn id="15" xr3:uid="{B4DBAE88-1CA4-490E-9274-594D344F329D}" name="รหัสพนักงานผู้รายงาน (เพื่อสอบถามข้อมูลเพิ่มเติม)" dataDxfId="10">
      <calculatedColumnFormula>OfficeForms.Table[[#This Row],[รหัสพนักงานผู้รายงาน (เพื่อสอบถามข้อมูลเพิ่มเติม)]]</calculatedColumnFormula>
    </tableColumn>
    <tableColumn id="16" xr3:uid="{380D7C5A-B789-4CA8-9EDB-DA4E7B90AE82}" name="ชื่อพนักงานที่อยู่ในเหตุการณ์" dataDxfId="9">
      <calculatedColumnFormula>OfficeForms.Table[[#This Row],[ชื่อพนักงานที่อยู่ในเหตุการณ์]]</calculatedColumnFormula>
    </tableColumn>
    <tableColumn id="17" xr3:uid="{8A2F7DAA-DE19-46F2-8C9D-A4D828295853}" name="ต้องคืนเงิน/ Credit note ลูกค้าหรือไม่" dataDxfId="8">
      <calculatedColumnFormula>OfficeForms.Table[[#This Row],[ต้องคืนเงิน/ Credit note ลูกค้าหรือไม่]]</calculatedColumnFormula>
    </tableColumn>
    <tableColumn id="18" xr3:uid="{1C9F8176-82EE-40EB-BFC9-EF5721A8491F}" name="Invoice#/ Prepayment#" dataDxfId="7">
      <calculatedColumnFormula>OfficeForms.Table[[#This Row],[Invoice'#/ Prepayment'#]]</calculatedColumnFormula>
    </tableColumn>
    <tableColumn id="19" xr3:uid="{467261FC-4696-4DE4-9D5E-2AD882844BB7}" name="วันที่รับเงิน" dataDxfId="6">
      <calculatedColumnFormula>OfficeForms.Table[[#This Row],[วันที่รับเงิน]]</calculatedColumnFormula>
    </tableColumn>
    <tableColumn id="20" xr3:uid="{5551112E-4971-4A35-AA37-A09344B2E56C}" name="ชำระโดย" dataDxfId="5">
      <calculatedColumnFormula>OfficeForms.Table[[#This Row],[ชำระโดย]]</calculatedColumnFormula>
    </tableColumn>
    <tableColumn id="21" xr3:uid="{0C5B6F9D-AE6A-4300-8604-2F97C9FF3D86}" name="ต้อง Adjust หรือ คืนเงินลูกค้าทางช่องทางใด" dataDxfId="4">
      <calculatedColumnFormula>OfficeForms.Table[[#This Row],[ต้อง Adjust หรือ คืนเงินลูกค้าทางช่องทางใด]]</calculatedColumnFormula>
    </tableColumn>
    <tableColumn id="26" xr3:uid="{22FA186D-EDE9-45BB-93F2-FF8783845A97}" name="ชื่อรายการที่ต้องคืน และมูลค่า (รวม VAT)" dataDxfId="3">
      <calculatedColumnFormula>OfficeForms.Table[[#This Row],[ชื่อรายการที่ต้องคืน และมูลค่า (รวม VAT)]]</calculatedColumnFormula>
    </tableColumn>
    <tableColumn id="27" xr3:uid="{E5E0E76C-47F0-4031-ABE9-CBBD0CB0FE14}" name="กระบวนการที่ถูก Complain2" dataDxfId="2"/>
    <tableColumn id="28" xr3:uid="{22B028A2-EB5E-4862-8043-03643E71FA55}" name="อัพเดทการจัดการ" dataDxfId="1"/>
    <tableColumn id="29" xr3:uid="{C8539714-7E0C-468A-96CF-C9D56E77417F}" name="วันที่จัดการ"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provetcloud.com/5160/billing/invoice_finished/68458/"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1"/>
  <sheetViews>
    <sheetView tabSelected="1" topLeftCell="F1" zoomScale="115" zoomScaleNormal="115" workbookViewId="0">
      <selection activeCell="M189" sqref="M189"/>
    </sheetView>
  </sheetViews>
  <sheetFormatPr defaultRowHeight="14.45"/>
  <cols>
    <col min="1" max="1" width="7.42578125" style="10" customWidth="1"/>
    <col min="2" max="2" width="17" style="10" bestFit="1" customWidth="1"/>
    <col min="3" max="3" width="22.42578125" style="10" customWidth="1"/>
    <col min="4" max="4" width="11.85546875" style="10" customWidth="1"/>
    <col min="5" max="5" width="9.140625" customWidth="1"/>
    <col min="6" max="6" width="28.140625" style="10" bestFit="1" customWidth="1"/>
    <col min="7" max="7" width="12.140625" style="10" customWidth="1"/>
    <col min="8" max="8" width="19.7109375" style="10" customWidth="1"/>
    <col min="9" max="9" width="31.42578125" style="10" customWidth="1"/>
    <col min="10" max="10" width="19.7109375" style="10" customWidth="1"/>
    <col min="11" max="11" width="17" customWidth="1"/>
    <col min="12" max="12" width="29" customWidth="1"/>
    <col min="13" max="13" width="255.5703125" style="3" customWidth="1"/>
    <col min="14" max="14" width="80.85546875" customWidth="1"/>
    <col min="15" max="15" width="43.140625" customWidth="1"/>
    <col min="16" max="16" width="56.5703125" customWidth="1"/>
    <col min="17" max="17" width="33.5703125" customWidth="1"/>
    <col min="18" max="20" width="19" customWidth="1"/>
    <col min="21" max="21" width="69.42578125" customWidth="1"/>
    <col min="22" max="22" width="109.28515625" customWidth="1"/>
  </cols>
  <sheetData>
    <row r="1" spans="1:22">
      <c r="A1" s="10" t="s">
        <v>0</v>
      </c>
      <c r="B1" s="10" t="s">
        <v>1</v>
      </c>
      <c r="C1" s="10" t="s">
        <v>2</v>
      </c>
      <c r="D1" s="10" t="s">
        <v>3</v>
      </c>
      <c r="E1" t="s">
        <v>4</v>
      </c>
      <c r="F1" s="10" t="s">
        <v>5</v>
      </c>
      <c r="G1" s="10" t="s">
        <v>6</v>
      </c>
      <c r="H1" s="10" t="s">
        <v>7</v>
      </c>
      <c r="I1" s="10" t="s">
        <v>8</v>
      </c>
      <c r="J1" s="10" t="s">
        <v>9</v>
      </c>
      <c r="K1" t="s">
        <v>10</v>
      </c>
      <c r="L1" t="s">
        <v>11</v>
      </c>
      <c r="M1" s="3" t="s">
        <v>12</v>
      </c>
      <c r="N1" t="s">
        <v>13</v>
      </c>
      <c r="O1" t="s">
        <v>14</v>
      </c>
      <c r="P1" t="s">
        <v>15</v>
      </c>
      <c r="Q1" t="s">
        <v>16</v>
      </c>
      <c r="R1" t="s">
        <v>17</v>
      </c>
      <c r="S1" s="1" t="s">
        <v>18</v>
      </c>
      <c r="T1" t="s">
        <v>19</v>
      </c>
      <c r="U1" t="s">
        <v>20</v>
      </c>
      <c r="V1" t="s">
        <v>21</v>
      </c>
    </row>
    <row r="2" spans="1:22" hidden="1">
      <c r="A2" s="10">
        <v>1</v>
      </c>
      <c r="B2" s="30">
        <v>45816.909768518497</v>
      </c>
      <c r="C2" s="30">
        <v>45816.914490740703</v>
      </c>
      <c r="D2" s="12" t="s">
        <v>22</v>
      </c>
      <c r="E2" s="3"/>
      <c r="F2" s="12" t="s">
        <v>23</v>
      </c>
      <c r="G2" s="1">
        <v>45813</v>
      </c>
      <c r="H2" s="12" t="s">
        <v>24</v>
      </c>
      <c r="I2" s="3" t="s">
        <v>25</v>
      </c>
      <c r="J2" s="4" t="s">
        <v>26</v>
      </c>
      <c r="K2" s="4"/>
      <c r="L2" s="2"/>
      <c r="M2" s="3" t="s">
        <v>27</v>
      </c>
      <c r="N2" t="s">
        <v>28</v>
      </c>
      <c r="O2" s="2" t="s">
        <v>29</v>
      </c>
      <c r="P2" t="s">
        <v>30</v>
      </c>
    </row>
    <row r="3" spans="1:22" hidden="1">
      <c r="A3" s="10">
        <v>2</v>
      </c>
      <c r="B3" s="30">
        <v>45826.564756944397</v>
      </c>
      <c r="C3" s="30">
        <v>45826.568182870396</v>
      </c>
      <c r="D3" s="12" t="s">
        <v>22</v>
      </c>
      <c r="E3" s="3"/>
      <c r="F3" s="12" t="s">
        <v>31</v>
      </c>
      <c r="G3" s="1">
        <v>45813</v>
      </c>
      <c r="H3" s="13" t="s">
        <v>32</v>
      </c>
      <c r="I3" s="3" t="s">
        <v>33</v>
      </c>
      <c r="J3" s="4" t="s">
        <v>34</v>
      </c>
      <c r="K3" s="4"/>
      <c r="L3" s="2"/>
      <c r="M3" s="3" t="s">
        <v>35</v>
      </c>
      <c r="N3" t="s">
        <v>36</v>
      </c>
      <c r="O3" s="2" t="s">
        <v>37</v>
      </c>
      <c r="P3" t="s">
        <v>38</v>
      </c>
    </row>
    <row r="4" spans="1:22" hidden="1">
      <c r="A4" s="10">
        <v>3</v>
      </c>
      <c r="B4" s="30">
        <v>45810.522777777776</v>
      </c>
      <c r="C4" s="30">
        <v>45810.524421296293</v>
      </c>
      <c r="D4" s="10" t="s">
        <v>22</v>
      </c>
      <c r="F4" s="10" t="s">
        <v>39</v>
      </c>
      <c r="G4" s="11">
        <v>45810</v>
      </c>
      <c r="H4" s="10" t="s">
        <v>40</v>
      </c>
      <c r="I4" s="10" t="s">
        <v>41</v>
      </c>
      <c r="J4" s="14" t="s">
        <v>42</v>
      </c>
      <c r="K4" s="2"/>
      <c r="L4" s="2"/>
      <c r="M4" s="3" t="s">
        <v>43</v>
      </c>
      <c r="S4" s="1"/>
    </row>
    <row r="5" spans="1:22" hidden="1">
      <c r="A5" s="10">
        <v>4</v>
      </c>
      <c r="B5" s="30">
        <v>45814.844039351898</v>
      </c>
      <c r="C5" s="30">
        <v>45814.8453240741</v>
      </c>
      <c r="D5" s="12" t="s">
        <v>22</v>
      </c>
      <c r="E5" s="3"/>
      <c r="F5" s="12" t="s">
        <v>39</v>
      </c>
      <c r="G5" s="11">
        <v>45814</v>
      </c>
      <c r="H5" s="12" t="s">
        <v>44</v>
      </c>
      <c r="I5" s="12" t="s">
        <v>45</v>
      </c>
      <c r="J5" s="12" t="s">
        <v>45</v>
      </c>
      <c r="M5" s="3" t="s">
        <v>46</v>
      </c>
      <c r="N5" t="s">
        <v>47</v>
      </c>
      <c r="O5" s="2" t="s">
        <v>48</v>
      </c>
      <c r="P5" t="s">
        <v>45</v>
      </c>
      <c r="S5" s="1"/>
    </row>
    <row r="6" spans="1:22" hidden="1">
      <c r="A6" s="10">
        <v>5</v>
      </c>
      <c r="B6" s="30">
        <v>45814.8454166667</v>
      </c>
      <c r="C6" s="30">
        <v>45814.846423611103</v>
      </c>
      <c r="D6" s="12" t="s">
        <v>22</v>
      </c>
      <c r="E6" s="3"/>
      <c r="F6" s="12" t="s">
        <v>39</v>
      </c>
      <c r="G6" s="11">
        <v>45814</v>
      </c>
      <c r="H6" s="13" t="s">
        <v>49</v>
      </c>
      <c r="I6" s="12" t="s">
        <v>50</v>
      </c>
      <c r="J6" s="13" t="s">
        <v>48</v>
      </c>
      <c r="K6" s="2"/>
      <c r="L6" s="2"/>
      <c r="M6" s="3" t="s">
        <v>51</v>
      </c>
      <c r="N6" t="s">
        <v>52</v>
      </c>
      <c r="O6" t="s">
        <v>50</v>
      </c>
      <c r="P6" t="s">
        <v>50</v>
      </c>
      <c r="S6" s="1"/>
    </row>
    <row r="7" spans="1:22" hidden="1">
      <c r="A7" s="10">
        <v>6</v>
      </c>
      <c r="B7" s="30">
        <v>45814.846631944398</v>
      </c>
      <c r="C7" s="30">
        <v>45814.846944444398</v>
      </c>
      <c r="D7" s="12" t="s">
        <v>22</v>
      </c>
      <c r="E7" s="3"/>
      <c r="F7" s="12" t="s">
        <v>39</v>
      </c>
      <c r="G7" s="11">
        <v>45814</v>
      </c>
      <c r="H7" s="13" t="s">
        <v>53</v>
      </c>
      <c r="I7" s="12" t="s">
        <v>54</v>
      </c>
      <c r="J7" s="13" t="s">
        <v>55</v>
      </c>
      <c r="K7" s="2"/>
      <c r="L7" s="2"/>
      <c r="M7" s="3" t="s">
        <v>51</v>
      </c>
      <c r="N7" t="s">
        <v>56</v>
      </c>
      <c r="O7" t="s">
        <v>54</v>
      </c>
      <c r="P7" t="s">
        <v>54</v>
      </c>
      <c r="S7" s="1"/>
    </row>
    <row r="8" spans="1:22" hidden="1">
      <c r="A8" s="10">
        <v>7</v>
      </c>
      <c r="B8" s="30">
        <v>45816.542511574102</v>
      </c>
      <c r="C8" s="30">
        <v>45816.552766203698</v>
      </c>
      <c r="D8" s="12" t="s">
        <v>22</v>
      </c>
      <c r="E8" s="3"/>
      <c r="F8" s="12" t="s">
        <v>39</v>
      </c>
      <c r="G8" s="11">
        <v>45812</v>
      </c>
      <c r="H8" s="12" t="s">
        <v>57</v>
      </c>
      <c r="I8" s="12" t="s">
        <v>58</v>
      </c>
      <c r="J8" s="12" t="s">
        <v>59</v>
      </c>
      <c r="M8" s="3" t="s">
        <v>60</v>
      </c>
      <c r="N8" t="s">
        <v>61</v>
      </c>
      <c r="O8" t="s">
        <v>62</v>
      </c>
      <c r="P8" t="s">
        <v>63</v>
      </c>
      <c r="S8" s="1"/>
    </row>
    <row r="9" spans="1:22" hidden="1">
      <c r="A9" s="10">
        <v>8</v>
      </c>
      <c r="B9" s="30">
        <v>45816.554398148102</v>
      </c>
      <c r="C9" s="30">
        <v>45816.559456018498</v>
      </c>
      <c r="D9" s="12" t="s">
        <v>22</v>
      </c>
      <c r="E9" s="3"/>
      <c r="F9" s="12" t="s">
        <v>39</v>
      </c>
      <c r="G9" s="11">
        <v>45816</v>
      </c>
      <c r="H9" s="12" t="s">
        <v>64</v>
      </c>
      <c r="I9" s="12" t="s">
        <v>65</v>
      </c>
      <c r="J9" s="12" t="s">
        <v>66</v>
      </c>
      <c r="M9" s="3" t="s">
        <v>67</v>
      </c>
      <c r="N9" t="s">
        <v>68</v>
      </c>
      <c r="O9" t="s">
        <v>69</v>
      </c>
      <c r="P9" t="s">
        <v>63</v>
      </c>
      <c r="S9" s="1"/>
    </row>
    <row r="10" spans="1:22" hidden="1">
      <c r="A10" s="10">
        <v>9</v>
      </c>
      <c r="B10" s="30">
        <v>45817.724236111098</v>
      </c>
      <c r="C10" s="30">
        <v>45817.729236111103</v>
      </c>
      <c r="D10" s="12" t="s">
        <v>22</v>
      </c>
      <c r="E10" s="3"/>
      <c r="F10" s="12" t="s">
        <v>39</v>
      </c>
      <c r="G10" s="11">
        <v>45817</v>
      </c>
      <c r="H10" s="12" t="s">
        <v>70</v>
      </c>
      <c r="I10" s="12" t="s">
        <v>71</v>
      </c>
      <c r="J10" s="13" t="s">
        <v>72</v>
      </c>
      <c r="K10" s="2"/>
      <c r="L10" s="2"/>
      <c r="M10" s="3" t="s">
        <v>73</v>
      </c>
      <c r="N10" t="s">
        <v>74</v>
      </c>
      <c r="O10" s="2" t="s">
        <v>62</v>
      </c>
      <c r="P10" t="s">
        <v>75</v>
      </c>
      <c r="S10" s="1"/>
    </row>
    <row r="11" spans="1:22" hidden="1">
      <c r="A11" s="10">
        <v>10</v>
      </c>
      <c r="B11" s="30">
        <v>45819.434166666702</v>
      </c>
      <c r="C11" s="30">
        <v>45819.436909722201</v>
      </c>
      <c r="D11" s="12" t="s">
        <v>22</v>
      </c>
      <c r="E11" s="3"/>
      <c r="F11" s="12" t="s">
        <v>39</v>
      </c>
      <c r="G11" s="11">
        <v>45818</v>
      </c>
      <c r="H11" s="12" t="s">
        <v>76</v>
      </c>
      <c r="I11" s="12" t="s">
        <v>77</v>
      </c>
      <c r="J11" s="13" t="s">
        <v>78</v>
      </c>
      <c r="K11" s="2"/>
      <c r="L11" s="2"/>
      <c r="M11" s="3" t="s">
        <v>79</v>
      </c>
      <c r="N11" t="s">
        <v>80</v>
      </c>
      <c r="O11" s="2" t="s">
        <v>62</v>
      </c>
      <c r="P11" t="s">
        <v>81</v>
      </c>
      <c r="S11" s="1"/>
    </row>
    <row r="12" spans="1:22" hidden="1">
      <c r="A12" s="10">
        <v>11</v>
      </c>
      <c r="B12" s="30">
        <v>45819.596192129597</v>
      </c>
      <c r="C12" s="30">
        <v>45819.600474537001</v>
      </c>
      <c r="D12" s="12" t="s">
        <v>22</v>
      </c>
      <c r="E12" s="3"/>
      <c r="F12" s="12" t="s">
        <v>39</v>
      </c>
      <c r="G12" s="11">
        <v>45819</v>
      </c>
      <c r="H12" s="12" t="s">
        <v>82</v>
      </c>
      <c r="I12" s="12" t="s">
        <v>83</v>
      </c>
      <c r="J12" s="13" t="s">
        <v>84</v>
      </c>
      <c r="K12" s="2"/>
      <c r="L12" s="2"/>
      <c r="M12" s="3" t="s">
        <v>85</v>
      </c>
      <c r="N12" t="s">
        <v>86</v>
      </c>
      <c r="O12" s="2" t="s">
        <v>62</v>
      </c>
      <c r="P12" t="s">
        <v>87</v>
      </c>
      <c r="S12" s="1"/>
    </row>
    <row r="13" spans="1:22" hidden="1">
      <c r="A13" s="10">
        <v>12</v>
      </c>
      <c r="B13" s="30">
        <v>45821.676516203697</v>
      </c>
      <c r="C13" s="30">
        <v>45821.679247685199</v>
      </c>
      <c r="D13" s="12" t="s">
        <v>22</v>
      </c>
      <c r="E13" s="3"/>
      <c r="F13" s="12" t="s">
        <v>39</v>
      </c>
      <c r="G13" s="11">
        <v>45816</v>
      </c>
      <c r="H13" s="12" t="s">
        <v>88</v>
      </c>
      <c r="I13" s="12" t="s">
        <v>89</v>
      </c>
      <c r="J13" s="13" t="s">
        <v>90</v>
      </c>
      <c r="K13" s="2"/>
      <c r="L13" s="2"/>
      <c r="M13" s="3" t="s">
        <v>91</v>
      </c>
      <c r="N13" t="s">
        <v>92</v>
      </c>
      <c r="O13" s="2" t="s">
        <v>93</v>
      </c>
      <c r="P13" t="s">
        <v>94</v>
      </c>
      <c r="S13" s="1"/>
    </row>
    <row r="14" spans="1:22" hidden="1">
      <c r="A14" s="10">
        <v>13</v>
      </c>
      <c r="B14" s="30">
        <v>45822.930844907401</v>
      </c>
      <c r="C14" s="30">
        <v>45822.938564814802</v>
      </c>
      <c r="D14" s="12" t="s">
        <v>22</v>
      </c>
      <c r="E14" s="3"/>
      <c r="F14" s="12" t="s">
        <v>39</v>
      </c>
      <c r="G14" s="11">
        <v>45822</v>
      </c>
      <c r="H14" s="13" t="s">
        <v>95</v>
      </c>
      <c r="I14" s="12" t="s">
        <v>96</v>
      </c>
      <c r="J14" s="13" t="s">
        <v>97</v>
      </c>
      <c r="K14" s="2"/>
      <c r="L14" s="2"/>
      <c r="M14" s="3" t="s">
        <v>98</v>
      </c>
      <c r="N14" t="s">
        <v>99</v>
      </c>
      <c r="O14" s="2">
        <v>191</v>
      </c>
      <c r="P14" t="s">
        <v>100</v>
      </c>
      <c r="S14" s="1"/>
    </row>
    <row r="15" spans="1:22" hidden="1">
      <c r="A15" s="10">
        <v>14</v>
      </c>
      <c r="B15" s="30">
        <v>45823.523287037002</v>
      </c>
      <c r="C15" s="30">
        <v>45823.528229166703</v>
      </c>
      <c r="D15" s="12" t="s">
        <v>22</v>
      </c>
      <c r="E15" s="3"/>
      <c r="F15" s="12" t="s">
        <v>39</v>
      </c>
      <c r="G15" s="11">
        <v>45822</v>
      </c>
      <c r="H15" s="13" t="s">
        <v>101</v>
      </c>
      <c r="I15" s="12" t="s">
        <v>102</v>
      </c>
      <c r="J15" s="13" t="s">
        <v>103</v>
      </c>
      <c r="K15" s="2"/>
      <c r="L15" s="2"/>
      <c r="M15" s="3" t="s">
        <v>104</v>
      </c>
      <c r="N15" t="s">
        <v>105</v>
      </c>
      <c r="O15" s="2" t="s">
        <v>62</v>
      </c>
      <c r="P15" t="s">
        <v>106</v>
      </c>
      <c r="S15" s="1"/>
    </row>
    <row r="16" spans="1:22" hidden="1">
      <c r="A16" s="10">
        <v>16</v>
      </c>
      <c r="B16" s="30">
        <v>45823.700578703698</v>
      </c>
      <c r="C16" s="30">
        <v>45823.719050925902</v>
      </c>
      <c r="D16" s="12" t="s">
        <v>22</v>
      </c>
      <c r="E16" s="3"/>
      <c r="F16" s="12" t="s">
        <v>39</v>
      </c>
      <c r="G16" s="11">
        <v>45823</v>
      </c>
      <c r="H16" s="13" t="s">
        <v>107</v>
      </c>
      <c r="I16" s="12" t="s">
        <v>108</v>
      </c>
      <c r="J16" s="13" t="s">
        <v>109</v>
      </c>
      <c r="K16" s="2"/>
      <c r="L16" s="2"/>
      <c r="M16" s="3" t="s">
        <v>110</v>
      </c>
      <c r="N16" t="s">
        <v>111</v>
      </c>
      <c r="O16" s="2" t="s">
        <v>62</v>
      </c>
      <c r="P16" t="s">
        <v>112</v>
      </c>
      <c r="S16" s="1"/>
    </row>
    <row r="17" spans="1:22" hidden="1">
      <c r="A17" s="10">
        <v>18</v>
      </c>
      <c r="B17" s="30">
        <v>45826.695798611101</v>
      </c>
      <c r="C17" s="30">
        <v>45826.700046296297</v>
      </c>
      <c r="D17" s="12" t="s">
        <v>22</v>
      </c>
      <c r="E17" s="3"/>
      <c r="F17" s="12" t="s">
        <v>39</v>
      </c>
      <c r="G17" s="11">
        <v>45823</v>
      </c>
      <c r="H17" s="13" t="s">
        <v>113</v>
      </c>
      <c r="I17" s="12" t="s">
        <v>114</v>
      </c>
      <c r="J17" s="13" t="s">
        <v>115</v>
      </c>
      <c r="K17" s="2"/>
      <c r="L17" s="2"/>
      <c r="M17" s="3" t="s">
        <v>116</v>
      </c>
      <c r="N17" t="s">
        <v>117</v>
      </c>
      <c r="O17" s="2" t="s">
        <v>93</v>
      </c>
      <c r="P17" t="s">
        <v>118</v>
      </c>
      <c r="S17" s="1"/>
    </row>
    <row r="18" spans="1:22" hidden="1">
      <c r="A18" s="10">
        <v>19</v>
      </c>
      <c r="B18" s="30">
        <v>45832.458726851903</v>
      </c>
      <c r="C18" s="30">
        <v>45832.460960648197</v>
      </c>
      <c r="D18" s="12" t="s">
        <v>22</v>
      </c>
      <c r="E18" s="3"/>
      <c r="F18" s="12" t="s">
        <v>39</v>
      </c>
      <c r="G18" s="11">
        <v>45832</v>
      </c>
      <c r="H18" s="13" t="s">
        <v>119</v>
      </c>
      <c r="I18" s="12" t="s">
        <v>120</v>
      </c>
      <c r="J18" s="13" t="s">
        <v>121</v>
      </c>
      <c r="K18" s="2"/>
      <c r="L18" s="2"/>
      <c r="M18" s="3" t="s">
        <v>122</v>
      </c>
      <c r="N18" t="s">
        <v>123</v>
      </c>
      <c r="O18" s="2" t="s">
        <v>93</v>
      </c>
      <c r="P18" t="s">
        <v>124</v>
      </c>
      <c r="S18" s="1"/>
    </row>
    <row r="19" spans="1:22" hidden="1">
      <c r="A19" s="10">
        <v>20</v>
      </c>
      <c r="B19" s="30">
        <v>45832.999560185199</v>
      </c>
      <c r="C19" s="30">
        <v>45833.002337963</v>
      </c>
      <c r="D19" s="12" t="s">
        <v>22</v>
      </c>
      <c r="E19" s="3"/>
      <c r="F19" s="12" t="s">
        <v>39</v>
      </c>
      <c r="G19" s="11">
        <v>45830</v>
      </c>
      <c r="H19" s="13" t="s">
        <v>125</v>
      </c>
      <c r="I19" s="12" t="s">
        <v>126</v>
      </c>
      <c r="J19" s="13" t="s">
        <v>127</v>
      </c>
      <c r="K19" s="2"/>
      <c r="L19" s="2"/>
      <c r="M19" s="3" t="s">
        <v>128</v>
      </c>
      <c r="O19" s="2" t="s">
        <v>37</v>
      </c>
      <c r="P19" t="s">
        <v>129</v>
      </c>
      <c r="S19" s="1"/>
    </row>
    <row r="20" spans="1:22" hidden="1">
      <c r="A20" s="10">
        <v>21</v>
      </c>
      <c r="B20" s="30">
        <v>45838.7094560185</v>
      </c>
      <c r="C20" s="30">
        <v>45838.713113425903</v>
      </c>
      <c r="D20" s="12" t="s">
        <v>22</v>
      </c>
      <c r="E20" s="3"/>
      <c r="F20" s="12" t="s">
        <v>39</v>
      </c>
      <c r="G20" s="11">
        <v>45838</v>
      </c>
      <c r="H20" s="13" t="s">
        <v>130</v>
      </c>
      <c r="I20" s="12" t="s">
        <v>131</v>
      </c>
      <c r="J20" s="13" t="s">
        <v>132</v>
      </c>
      <c r="K20" s="2"/>
      <c r="L20" s="2"/>
      <c r="M20" s="3" t="s">
        <v>133</v>
      </c>
      <c r="N20" t="s">
        <v>134</v>
      </c>
      <c r="O20" s="2" t="s">
        <v>135</v>
      </c>
      <c r="P20" t="s">
        <v>136</v>
      </c>
      <c r="S20" s="1"/>
    </row>
    <row r="21" spans="1:22" hidden="1">
      <c r="A21" s="10">
        <v>22</v>
      </c>
      <c r="B21" s="30">
        <v>45841.852222222202</v>
      </c>
      <c r="C21" s="30">
        <v>45841.856458333299</v>
      </c>
      <c r="D21" s="12" t="s">
        <v>22</v>
      </c>
      <c r="E21" s="3"/>
      <c r="F21" s="12" t="s">
        <v>39</v>
      </c>
      <c r="G21" s="11">
        <v>45834</v>
      </c>
      <c r="H21" s="13" t="s">
        <v>137</v>
      </c>
      <c r="I21" s="12" t="s">
        <v>138</v>
      </c>
      <c r="J21" s="13" t="s">
        <v>139</v>
      </c>
      <c r="K21" s="2"/>
      <c r="L21" s="2"/>
      <c r="M21" s="3" t="s">
        <v>140</v>
      </c>
      <c r="N21" t="s">
        <v>141</v>
      </c>
      <c r="O21" s="2" t="s">
        <v>42</v>
      </c>
      <c r="P21" t="s">
        <v>142</v>
      </c>
      <c r="S21" s="1"/>
    </row>
    <row r="22" spans="1:22" hidden="1">
      <c r="A22" s="10">
        <v>23</v>
      </c>
      <c r="B22" s="30">
        <v>45841.838344907403</v>
      </c>
      <c r="C22" s="30">
        <v>45841.856504629599</v>
      </c>
      <c r="D22" s="12" t="s">
        <v>22</v>
      </c>
      <c r="E22" s="3"/>
      <c r="F22" s="12" t="s">
        <v>39</v>
      </c>
      <c r="G22" s="11">
        <v>45834</v>
      </c>
      <c r="H22" s="13" t="s">
        <v>137</v>
      </c>
      <c r="I22" s="12" t="s">
        <v>138</v>
      </c>
      <c r="J22" s="13" t="s">
        <v>139</v>
      </c>
      <c r="K22" s="2"/>
      <c r="L22" s="2"/>
      <c r="M22" s="3" t="s">
        <v>143</v>
      </c>
      <c r="N22" t="s">
        <v>144</v>
      </c>
      <c r="O22" s="2" t="s">
        <v>42</v>
      </c>
      <c r="P22" t="s">
        <v>142</v>
      </c>
      <c r="S22" s="1"/>
    </row>
    <row r="23" spans="1:22" hidden="1">
      <c r="A23" s="10">
        <v>24</v>
      </c>
      <c r="B23" s="30">
        <v>45842.550347222197</v>
      </c>
      <c r="C23" s="30">
        <v>45842.550995370402</v>
      </c>
      <c r="D23" s="12" t="s">
        <v>22</v>
      </c>
      <c r="E23" s="3"/>
      <c r="F23" s="12" t="s">
        <v>39</v>
      </c>
      <c r="G23" s="11">
        <v>45838</v>
      </c>
      <c r="H23" s="13" t="s">
        <v>145</v>
      </c>
      <c r="I23" s="12" t="s">
        <v>146</v>
      </c>
      <c r="J23" s="13" t="s">
        <v>147</v>
      </c>
      <c r="K23" s="2"/>
      <c r="L23" s="2"/>
      <c r="M23" s="3" t="s">
        <v>148</v>
      </c>
      <c r="O23" s="2" t="s">
        <v>149</v>
      </c>
      <c r="P23" s="2" t="s">
        <v>42</v>
      </c>
      <c r="Q23" s="2"/>
      <c r="R23" s="2"/>
      <c r="S23" s="5"/>
      <c r="T23" s="2"/>
      <c r="U23" s="2"/>
      <c r="V23" s="2"/>
    </row>
    <row r="24" spans="1:22" hidden="1">
      <c r="A24" s="10">
        <v>25</v>
      </c>
      <c r="B24" s="30">
        <v>45852.756180555603</v>
      </c>
      <c r="C24" s="30">
        <v>45852.760625000003</v>
      </c>
      <c r="D24" s="12" t="s">
        <v>22</v>
      </c>
      <c r="E24" s="3"/>
      <c r="F24" s="12" t="s">
        <v>150</v>
      </c>
      <c r="G24" s="1">
        <v>45852</v>
      </c>
      <c r="H24" s="4" t="s">
        <v>151</v>
      </c>
      <c r="I24" s="3" t="s">
        <v>152</v>
      </c>
      <c r="J24" s="4" t="s">
        <v>153</v>
      </c>
      <c r="K24" s="4"/>
      <c r="L24" s="2"/>
      <c r="M24" s="3" t="s">
        <v>154</v>
      </c>
      <c r="O24" s="2" t="s">
        <v>155</v>
      </c>
      <c r="P24" s="2" t="s">
        <v>156</v>
      </c>
      <c r="Q24" s="2"/>
      <c r="R24" s="2"/>
      <c r="S24" s="2"/>
      <c r="T24" s="2"/>
      <c r="U24" s="2"/>
      <c r="V24" s="2"/>
    </row>
    <row r="25" spans="1:22" hidden="1">
      <c r="A25" s="10">
        <v>15</v>
      </c>
      <c r="B25" s="30">
        <v>45823.53</v>
      </c>
      <c r="C25" s="30">
        <v>45823.533067129603</v>
      </c>
      <c r="D25" s="12" t="s">
        <v>22</v>
      </c>
      <c r="E25" s="3"/>
      <c r="F25" s="12" t="s">
        <v>157</v>
      </c>
      <c r="G25" s="1">
        <v>45822</v>
      </c>
      <c r="H25" s="4" t="s">
        <v>158</v>
      </c>
      <c r="I25" s="3" t="s">
        <v>159</v>
      </c>
      <c r="J25" s="4" t="s">
        <v>160</v>
      </c>
      <c r="K25" s="4"/>
      <c r="L25" s="2"/>
      <c r="M25" s="3" t="s">
        <v>161</v>
      </c>
      <c r="N25" t="s">
        <v>162</v>
      </c>
      <c r="O25" s="2" t="s">
        <v>62</v>
      </c>
      <c r="P25" t="s">
        <v>63</v>
      </c>
    </row>
    <row r="26" spans="1:22" hidden="1">
      <c r="A26" s="10">
        <v>26</v>
      </c>
      <c r="B26" s="30">
        <v>45859.325949074097</v>
      </c>
      <c r="C26" s="30">
        <v>45859.329004629602</v>
      </c>
      <c r="D26" s="12" t="s">
        <v>22</v>
      </c>
      <c r="E26" s="3"/>
      <c r="F26" s="12" t="s">
        <v>39</v>
      </c>
      <c r="G26" s="11">
        <v>45859</v>
      </c>
      <c r="H26" s="13" t="s">
        <v>163</v>
      </c>
      <c r="I26" s="12" t="s">
        <v>164</v>
      </c>
      <c r="J26" s="13" t="s">
        <v>165</v>
      </c>
      <c r="K26" s="2"/>
      <c r="L26" s="2"/>
      <c r="M26" s="3" t="s">
        <v>166</v>
      </c>
      <c r="N26" t="s">
        <v>167</v>
      </c>
      <c r="O26" s="2" t="s">
        <v>168</v>
      </c>
      <c r="P26" t="s">
        <v>169</v>
      </c>
      <c r="S26" s="1"/>
    </row>
    <row r="27" spans="1:22" hidden="1">
      <c r="A27" s="10">
        <v>27</v>
      </c>
      <c r="B27" s="30">
        <v>45863.738240740699</v>
      </c>
      <c r="C27" s="30">
        <v>45863.7426388889</v>
      </c>
      <c r="D27" s="12" t="s">
        <v>22</v>
      </c>
      <c r="E27" s="3"/>
      <c r="F27" s="12" t="s">
        <v>39</v>
      </c>
      <c r="G27" s="11">
        <v>45855</v>
      </c>
      <c r="H27" s="13" t="s">
        <v>170</v>
      </c>
      <c r="I27" s="12" t="s">
        <v>171</v>
      </c>
      <c r="J27" s="13" t="s">
        <v>172</v>
      </c>
      <c r="K27" s="2"/>
      <c r="L27" s="2"/>
      <c r="M27" s="3" t="s">
        <v>173</v>
      </c>
      <c r="N27" t="s">
        <v>174</v>
      </c>
      <c r="O27" s="2" t="s">
        <v>175</v>
      </c>
      <c r="P27" t="s">
        <v>176</v>
      </c>
      <c r="S27" s="1"/>
    </row>
    <row r="28" spans="1:22" hidden="1">
      <c r="A28" s="10">
        <v>28</v>
      </c>
      <c r="B28" s="30">
        <v>45866.935868055603</v>
      </c>
      <c r="C28" s="30">
        <v>45866.939594907402</v>
      </c>
      <c r="D28" s="12" t="s">
        <v>22</v>
      </c>
      <c r="E28" s="3"/>
      <c r="F28" s="12" t="s">
        <v>39</v>
      </c>
      <c r="G28" s="11">
        <v>45864</v>
      </c>
      <c r="H28" s="13" t="s">
        <v>177</v>
      </c>
      <c r="I28" s="12" t="s">
        <v>178</v>
      </c>
      <c r="J28" s="13" t="s">
        <v>179</v>
      </c>
      <c r="K28" s="2"/>
      <c r="L28" s="2"/>
      <c r="M28" s="3" t="s">
        <v>180</v>
      </c>
      <c r="N28" t="s">
        <v>181</v>
      </c>
      <c r="O28" s="2" t="s">
        <v>54</v>
      </c>
      <c r="P28" t="s">
        <v>182</v>
      </c>
      <c r="S28" s="1"/>
    </row>
    <row r="29" spans="1:22" hidden="1">
      <c r="A29" s="10">
        <v>29</v>
      </c>
      <c r="B29" s="30">
        <v>45867.408738425896</v>
      </c>
      <c r="C29" s="30">
        <v>45867.418287036999</v>
      </c>
      <c r="D29" s="12" t="s">
        <v>22</v>
      </c>
      <c r="E29" s="3"/>
      <c r="F29" s="12" t="s">
        <v>39</v>
      </c>
      <c r="G29" s="11">
        <v>45867</v>
      </c>
      <c r="H29" s="13" t="s">
        <v>183</v>
      </c>
      <c r="I29" s="12" t="s">
        <v>184</v>
      </c>
      <c r="J29" s="13" t="s">
        <v>185</v>
      </c>
      <c r="K29" s="2"/>
      <c r="L29" s="2"/>
      <c r="M29" s="3" t="s">
        <v>186</v>
      </c>
      <c r="N29" t="s">
        <v>187</v>
      </c>
      <c r="O29" s="2" t="s">
        <v>188</v>
      </c>
      <c r="P29" t="s">
        <v>189</v>
      </c>
      <c r="S29" s="1"/>
    </row>
    <row r="30" spans="1:22" hidden="1">
      <c r="A30" s="10">
        <v>30</v>
      </c>
      <c r="B30" s="30">
        <v>45868.634490740696</v>
      </c>
      <c r="C30" s="30">
        <v>45868.637152777803</v>
      </c>
      <c r="D30" s="12" t="s">
        <v>22</v>
      </c>
      <c r="E30" s="3"/>
      <c r="F30" s="12" t="s">
        <v>150</v>
      </c>
      <c r="G30" s="1">
        <v>45856</v>
      </c>
      <c r="H30" s="4" t="s">
        <v>190</v>
      </c>
      <c r="I30" s="3" t="s">
        <v>152</v>
      </c>
      <c r="J30" s="4" t="s">
        <v>153</v>
      </c>
      <c r="K30" s="2"/>
      <c r="L30" s="2"/>
      <c r="M30" s="3" t="s">
        <v>191</v>
      </c>
      <c r="N30" t="s">
        <v>192</v>
      </c>
      <c r="O30" s="2" t="s">
        <v>155</v>
      </c>
      <c r="P30" t="s">
        <v>193</v>
      </c>
      <c r="S30" s="1"/>
    </row>
    <row r="31" spans="1:22" hidden="1">
      <c r="A31" s="10">
        <v>31</v>
      </c>
      <c r="B31" s="30">
        <v>45868.7035763889</v>
      </c>
      <c r="C31" s="30">
        <v>45868.705717592602</v>
      </c>
      <c r="D31" s="12" t="s">
        <v>22</v>
      </c>
      <c r="E31" s="3"/>
      <c r="F31" s="12" t="s">
        <v>150</v>
      </c>
      <c r="G31" s="1">
        <v>45867</v>
      </c>
      <c r="H31" s="4" t="s">
        <v>194</v>
      </c>
      <c r="I31" s="3" t="s">
        <v>195</v>
      </c>
      <c r="J31" s="4" t="s">
        <v>196</v>
      </c>
      <c r="K31" s="2"/>
      <c r="L31" s="2"/>
      <c r="M31" s="3" t="s">
        <v>197</v>
      </c>
      <c r="N31" t="s">
        <v>198</v>
      </c>
      <c r="O31" s="2" t="s">
        <v>199</v>
      </c>
      <c r="P31" t="s">
        <v>200</v>
      </c>
      <c r="S31" s="1"/>
    </row>
    <row r="32" spans="1:22" hidden="1">
      <c r="A32" s="10">
        <v>33</v>
      </c>
      <c r="B32" s="30">
        <v>45872.649675925903</v>
      </c>
      <c r="C32" s="30">
        <v>45872.713935185202</v>
      </c>
      <c r="D32" s="12" t="s">
        <v>22</v>
      </c>
      <c r="E32" s="3"/>
      <c r="F32" s="12" t="s">
        <v>150</v>
      </c>
      <c r="G32" s="1">
        <v>45871</v>
      </c>
      <c r="H32" s="4" t="s">
        <v>201</v>
      </c>
      <c r="I32" s="3" t="s">
        <v>152</v>
      </c>
      <c r="J32" s="4" t="s">
        <v>153</v>
      </c>
      <c r="K32" s="2"/>
      <c r="L32" s="2"/>
      <c r="M32" s="3" t="s">
        <v>202</v>
      </c>
      <c r="O32" s="2" t="s">
        <v>155</v>
      </c>
      <c r="P32" t="s">
        <v>203</v>
      </c>
      <c r="Q32" t="s">
        <v>204</v>
      </c>
      <c r="R32" s="2" t="s">
        <v>205</v>
      </c>
      <c r="S32" s="5"/>
      <c r="T32" s="2"/>
      <c r="U32" s="2"/>
      <c r="V32" t="s">
        <v>206</v>
      </c>
    </row>
    <row r="33" spans="1:22" hidden="1">
      <c r="A33" s="10">
        <v>34</v>
      </c>
      <c r="B33" s="30">
        <v>45873.510092592602</v>
      </c>
      <c r="C33" s="30">
        <v>45873.518101851798</v>
      </c>
      <c r="D33" s="12" t="s">
        <v>22</v>
      </c>
      <c r="E33" s="3"/>
      <c r="F33" s="12" t="s">
        <v>150</v>
      </c>
      <c r="G33" s="1">
        <v>45873</v>
      </c>
      <c r="H33" s="4" t="s">
        <v>207</v>
      </c>
      <c r="I33" s="3" t="s">
        <v>208</v>
      </c>
      <c r="J33" s="4" t="s">
        <v>209</v>
      </c>
      <c r="K33" s="2"/>
      <c r="L33" s="2"/>
      <c r="M33" s="3" t="s">
        <v>210</v>
      </c>
      <c r="N33" t="s">
        <v>211</v>
      </c>
      <c r="O33" s="2" t="s">
        <v>212</v>
      </c>
      <c r="P33" t="s">
        <v>213</v>
      </c>
      <c r="Q33" t="s">
        <v>214</v>
      </c>
      <c r="S33" s="1"/>
    </row>
    <row r="34" spans="1:22" hidden="1">
      <c r="A34" s="10">
        <v>35</v>
      </c>
      <c r="B34" s="30">
        <v>45875.445439814801</v>
      </c>
      <c r="C34" s="30">
        <v>45875.447939814803</v>
      </c>
      <c r="D34" s="12" t="s">
        <v>22</v>
      </c>
      <c r="E34" s="3"/>
      <c r="F34" s="12" t="s">
        <v>39</v>
      </c>
      <c r="G34" s="11">
        <v>45875</v>
      </c>
      <c r="H34" s="13" t="s">
        <v>215</v>
      </c>
      <c r="I34" s="12" t="s">
        <v>216</v>
      </c>
      <c r="J34" s="13" t="s">
        <v>217</v>
      </c>
      <c r="K34" s="4" t="s">
        <v>218</v>
      </c>
      <c r="L34" s="2"/>
      <c r="M34" s="3" t="s">
        <v>219</v>
      </c>
      <c r="N34" t="s">
        <v>220</v>
      </c>
      <c r="O34" s="2" t="s">
        <v>188</v>
      </c>
      <c r="P34" t="s">
        <v>221</v>
      </c>
      <c r="Q34" t="s">
        <v>214</v>
      </c>
      <c r="S34" s="1"/>
      <c r="T34" s="1"/>
    </row>
    <row r="35" spans="1:22" hidden="1">
      <c r="A35" s="10">
        <v>36</v>
      </c>
      <c r="B35" s="30">
        <v>45876.866990740702</v>
      </c>
      <c r="C35" s="30">
        <v>45876.869699074101</v>
      </c>
      <c r="D35" s="12" t="s">
        <v>22</v>
      </c>
      <c r="E35" s="3"/>
      <c r="F35" s="12" t="s">
        <v>31</v>
      </c>
      <c r="G35" s="1">
        <v>45823</v>
      </c>
      <c r="H35" s="4" t="s">
        <v>222</v>
      </c>
      <c r="I35" s="3" t="s">
        <v>223</v>
      </c>
      <c r="J35" s="4" t="s">
        <v>224</v>
      </c>
      <c r="K35" s="4" t="s">
        <v>225</v>
      </c>
      <c r="L35" s="2"/>
      <c r="M35" s="3" t="s">
        <v>226</v>
      </c>
      <c r="N35" t="s">
        <v>227</v>
      </c>
      <c r="O35" s="2" t="s">
        <v>37</v>
      </c>
      <c r="P35" t="s">
        <v>228</v>
      </c>
      <c r="Q35" t="s">
        <v>204</v>
      </c>
      <c r="R35" s="2" t="s">
        <v>229</v>
      </c>
      <c r="S35" s="1"/>
      <c r="T35" s="1"/>
      <c r="U35" t="s">
        <v>230</v>
      </c>
      <c r="V35" t="s">
        <v>231</v>
      </c>
    </row>
    <row r="36" spans="1:22" hidden="1">
      <c r="A36" s="10">
        <v>37</v>
      </c>
      <c r="B36" s="30">
        <v>45877.342650462997</v>
      </c>
      <c r="C36" s="30">
        <v>45877.345775463</v>
      </c>
      <c r="D36" s="12" t="s">
        <v>22</v>
      </c>
      <c r="E36" s="3"/>
      <c r="F36" s="12" t="s">
        <v>39</v>
      </c>
      <c r="G36" s="11">
        <v>45871</v>
      </c>
      <c r="H36" s="13" t="s">
        <v>232</v>
      </c>
      <c r="I36" s="12" t="s">
        <v>233</v>
      </c>
      <c r="J36" s="13" t="s">
        <v>234</v>
      </c>
      <c r="K36" s="4" t="s">
        <v>235</v>
      </c>
      <c r="L36" s="2"/>
      <c r="M36" s="3" t="s">
        <v>236</v>
      </c>
      <c r="N36" t="s">
        <v>237</v>
      </c>
      <c r="O36" s="2" t="s">
        <v>238</v>
      </c>
      <c r="P36" t="s">
        <v>238</v>
      </c>
      <c r="Q36" t="s">
        <v>204</v>
      </c>
      <c r="R36" s="2" t="s">
        <v>239</v>
      </c>
      <c r="S36" s="1">
        <v>45871</v>
      </c>
      <c r="T36" s="1" t="s">
        <v>240</v>
      </c>
      <c r="U36" t="s">
        <v>230</v>
      </c>
      <c r="V36" t="s">
        <v>241</v>
      </c>
    </row>
    <row r="37" spans="1:22" hidden="1">
      <c r="A37" s="10">
        <v>38</v>
      </c>
      <c r="B37" s="30">
        <v>45877.604699074102</v>
      </c>
      <c r="C37" s="30">
        <v>45877.607534722199</v>
      </c>
      <c r="D37" s="12" t="s">
        <v>22</v>
      </c>
      <c r="E37" s="3"/>
      <c r="F37" s="12" t="s">
        <v>39</v>
      </c>
      <c r="G37" s="11">
        <v>45876</v>
      </c>
      <c r="H37" s="13" t="s">
        <v>242</v>
      </c>
      <c r="I37" s="12" t="s">
        <v>243</v>
      </c>
      <c r="J37" s="13" t="s">
        <v>244</v>
      </c>
      <c r="K37" s="4" t="s">
        <v>245</v>
      </c>
      <c r="L37" s="2"/>
      <c r="M37" s="3" t="s">
        <v>246</v>
      </c>
      <c r="N37" t="s">
        <v>247</v>
      </c>
      <c r="O37" s="2" t="s">
        <v>248</v>
      </c>
      <c r="P37" t="s">
        <v>243</v>
      </c>
      <c r="Q37" t="s">
        <v>214</v>
      </c>
      <c r="R37" s="2"/>
      <c r="S37" s="1"/>
      <c r="T37" s="1"/>
    </row>
    <row r="38" spans="1:22" hidden="1">
      <c r="A38" s="10">
        <v>39</v>
      </c>
      <c r="B38" s="30">
        <v>45879.509525463</v>
      </c>
      <c r="C38" s="30">
        <v>45879.513518518499</v>
      </c>
      <c r="D38" s="12" t="s">
        <v>22</v>
      </c>
      <c r="E38" s="3"/>
      <c r="F38" s="12" t="s">
        <v>39</v>
      </c>
      <c r="G38" s="11">
        <v>45879</v>
      </c>
      <c r="H38" s="13" t="s">
        <v>249</v>
      </c>
      <c r="I38" s="12" t="s">
        <v>250</v>
      </c>
      <c r="J38" s="13" t="s">
        <v>251</v>
      </c>
      <c r="K38" s="4" t="s">
        <v>218</v>
      </c>
      <c r="L38" s="2"/>
      <c r="M38" s="3" t="s">
        <v>252</v>
      </c>
      <c r="N38" t="s">
        <v>253</v>
      </c>
      <c r="O38" s="2" t="s">
        <v>135</v>
      </c>
      <c r="P38" t="s">
        <v>254</v>
      </c>
      <c r="Q38" t="s">
        <v>214</v>
      </c>
      <c r="R38" s="2"/>
      <c r="S38" s="1"/>
      <c r="T38" s="1"/>
    </row>
    <row r="39" spans="1:22" hidden="1">
      <c r="A39" s="10">
        <v>40</v>
      </c>
      <c r="B39" s="30">
        <v>45880.4389814815</v>
      </c>
      <c r="C39" s="30">
        <v>45880.443206018499</v>
      </c>
      <c r="D39" s="12" t="s">
        <v>22</v>
      </c>
      <c r="E39" s="3"/>
      <c r="F39" s="12" t="s">
        <v>157</v>
      </c>
      <c r="G39" s="1">
        <v>45877</v>
      </c>
      <c r="H39" s="4" t="s">
        <v>255</v>
      </c>
      <c r="I39" s="3" t="s">
        <v>256</v>
      </c>
      <c r="J39" s="4" t="s">
        <v>257</v>
      </c>
      <c r="K39" s="4" t="s">
        <v>235</v>
      </c>
      <c r="L39" s="2"/>
      <c r="M39" s="3" t="s">
        <v>258</v>
      </c>
      <c r="N39" t="s">
        <v>259</v>
      </c>
      <c r="O39" s="2" t="s">
        <v>260</v>
      </c>
      <c r="P39" t="s">
        <v>261</v>
      </c>
      <c r="Q39" t="s">
        <v>214</v>
      </c>
      <c r="R39" s="2"/>
      <c r="S39" s="1"/>
      <c r="T39" s="1"/>
    </row>
    <row r="40" spans="1:22" hidden="1">
      <c r="A40" s="10">
        <v>41</v>
      </c>
      <c r="B40" s="30">
        <v>45880.443402777797</v>
      </c>
      <c r="C40" s="30">
        <v>45880.445567129602</v>
      </c>
      <c r="D40" s="12" t="s">
        <v>22</v>
      </c>
      <c r="E40" s="3"/>
      <c r="F40" s="12" t="s">
        <v>157</v>
      </c>
      <c r="G40" s="1">
        <v>45872</v>
      </c>
      <c r="H40" s="4" t="s">
        <v>262</v>
      </c>
      <c r="I40" s="3" t="s">
        <v>263</v>
      </c>
      <c r="J40" s="4" t="s">
        <v>264</v>
      </c>
      <c r="K40" s="4" t="s">
        <v>225</v>
      </c>
      <c r="L40" s="2"/>
      <c r="M40" s="3" t="s">
        <v>265</v>
      </c>
      <c r="N40" t="s">
        <v>266</v>
      </c>
      <c r="O40" s="2" t="s">
        <v>260</v>
      </c>
      <c r="P40" t="s">
        <v>267</v>
      </c>
      <c r="Q40" t="s">
        <v>214</v>
      </c>
      <c r="R40" s="2"/>
      <c r="S40" s="1"/>
      <c r="T40" s="1"/>
    </row>
    <row r="41" spans="1:22" hidden="1">
      <c r="A41" s="10">
        <v>42</v>
      </c>
      <c r="B41" s="30">
        <v>45883.5782175926</v>
      </c>
      <c r="C41" s="30">
        <v>45883.580567129597</v>
      </c>
      <c r="D41" s="12" t="s">
        <v>22</v>
      </c>
      <c r="E41" s="3"/>
      <c r="F41" s="12" t="s">
        <v>39</v>
      </c>
      <c r="G41" s="11">
        <v>45882</v>
      </c>
      <c r="H41" s="13" t="s">
        <v>268</v>
      </c>
      <c r="I41" s="12" t="s">
        <v>269</v>
      </c>
      <c r="J41" s="13" t="s">
        <v>270</v>
      </c>
      <c r="K41" s="4" t="s">
        <v>271</v>
      </c>
      <c r="L41" s="2"/>
      <c r="M41" s="3" t="s">
        <v>272</v>
      </c>
      <c r="O41" s="2" t="s">
        <v>273</v>
      </c>
      <c r="P41" t="s">
        <v>274</v>
      </c>
      <c r="Q41" t="s">
        <v>204</v>
      </c>
      <c r="R41" s="2" t="s">
        <v>275</v>
      </c>
      <c r="S41" s="1">
        <v>45882</v>
      </c>
      <c r="T41" s="1" t="s">
        <v>276</v>
      </c>
      <c r="U41" t="s">
        <v>277</v>
      </c>
      <c r="V41" t="s">
        <v>278</v>
      </c>
    </row>
    <row r="42" spans="1:22" hidden="1">
      <c r="A42" s="10">
        <v>43</v>
      </c>
      <c r="B42" s="30">
        <v>45884.417916666702</v>
      </c>
      <c r="C42" s="30">
        <v>45884.420115740701</v>
      </c>
      <c r="D42" s="12" t="s">
        <v>22</v>
      </c>
      <c r="E42" s="3"/>
      <c r="F42" s="12" t="s">
        <v>157</v>
      </c>
      <c r="G42" s="1">
        <v>45883</v>
      </c>
      <c r="H42" s="4" t="s">
        <v>279</v>
      </c>
      <c r="I42" s="3" t="s">
        <v>280</v>
      </c>
      <c r="J42" s="4" t="s">
        <v>281</v>
      </c>
      <c r="K42" s="4" t="s">
        <v>282</v>
      </c>
      <c r="L42" s="2"/>
      <c r="M42" s="3" t="s">
        <v>283</v>
      </c>
      <c r="O42" s="2" t="s">
        <v>284</v>
      </c>
      <c r="P42" t="s">
        <v>285</v>
      </c>
      <c r="Q42" t="s">
        <v>214</v>
      </c>
      <c r="R42" s="2"/>
      <c r="S42" s="1"/>
      <c r="T42" s="1"/>
    </row>
    <row r="43" spans="1:22" hidden="1">
      <c r="A43" s="10">
        <v>44</v>
      </c>
      <c r="B43" s="30">
        <v>45884.420277777797</v>
      </c>
      <c r="C43" s="30">
        <v>45884.4227777778</v>
      </c>
      <c r="D43" s="12" t="s">
        <v>22</v>
      </c>
      <c r="E43" s="3"/>
      <c r="F43" s="12" t="s">
        <v>39</v>
      </c>
      <c r="G43" s="11">
        <v>45878</v>
      </c>
      <c r="H43" s="13" t="s">
        <v>286</v>
      </c>
      <c r="I43" s="12" t="s">
        <v>287</v>
      </c>
      <c r="J43" s="13" t="s">
        <v>288</v>
      </c>
      <c r="K43" s="4" t="s">
        <v>218</v>
      </c>
      <c r="L43" s="2"/>
      <c r="M43" s="3" t="s">
        <v>289</v>
      </c>
      <c r="O43" s="2" t="s">
        <v>284</v>
      </c>
      <c r="P43" t="s">
        <v>290</v>
      </c>
      <c r="Q43" t="s">
        <v>214</v>
      </c>
      <c r="R43" s="2"/>
      <c r="S43" s="1"/>
      <c r="T43" s="1"/>
    </row>
    <row r="44" spans="1:22" hidden="1">
      <c r="A44" s="10">
        <v>45</v>
      </c>
      <c r="B44" s="30">
        <v>45884.422800925902</v>
      </c>
      <c r="C44" s="30">
        <v>45884.423912036997</v>
      </c>
      <c r="D44" s="12" t="s">
        <v>22</v>
      </c>
      <c r="E44" s="3"/>
      <c r="F44" s="12" t="s">
        <v>39</v>
      </c>
      <c r="G44" s="11">
        <v>45877</v>
      </c>
      <c r="H44" s="13" t="s">
        <v>291</v>
      </c>
      <c r="I44" s="12" t="s">
        <v>292</v>
      </c>
      <c r="J44" s="13" t="s">
        <v>293</v>
      </c>
      <c r="K44" s="4" t="s">
        <v>218</v>
      </c>
      <c r="L44" s="2"/>
      <c r="M44" s="3" t="s">
        <v>294</v>
      </c>
      <c r="O44" s="2" t="s">
        <v>284</v>
      </c>
      <c r="P44" t="s">
        <v>290</v>
      </c>
      <c r="Q44" t="s">
        <v>214</v>
      </c>
      <c r="R44" s="2"/>
      <c r="S44" s="1"/>
      <c r="T44" s="1"/>
    </row>
    <row r="45" spans="1:22" hidden="1">
      <c r="A45" s="10">
        <v>46</v>
      </c>
      <c r="B45" s="30">
        <v>45884.565925925897</v>
      </c>
      <c r="C45" s="30">
        <v>45884.567893518499</v>
      </c>
      <c r="D45" s="12" t="s">
        <v>22</v>
      </c>
      <c r="E45" s="3"/>
      <c r="F45" s="12" t="s">
        <v>39</v>
      </c>
      <c r="G45" s="11">
        <v>45877</v>
      </c>
      <c r="H45" s="13" t="s">
        <v>295</v>
      </c>
      <c r="I45" s="12" t="s">
        <v>296</v>
      </c>
      <c r="J45" s="13" t="s">
        <v>297</v>
      </c>
      <c r="K45" s="4" t="s">
        <v>235</v>
      </c>
      <c r="L45" s="2"/>
      <c r="M45" s="3" t="s">
        <v>298</v>
      </c>
      <c r="N45" s="2" t="s">
        <v>42</v>
      </c>
      <c r="O45" s="2" t="s">
        <v>299</v>
      </c>
      <c r="P45" t="s">
        <v>299</v>
      </c>
      <c r="Q45" t="s">
        <v>204</v>
      </c>
      <c r="R45" s="2" t="s">
        <v>300</v>
      </c>
      <c r="S45" s="1">
        <v>45877</v>
      </c>
      <c r="T45" s="1" t="s">
        <v>276</v>
      </c>
      <c r="U45" t="s">
        <v>277</v>
      </c>
      <c r="V45" t="s">
        <v>301</v>
      </c>
    </row>
    <row r="46" spans="1:22" hidden="1">
      <c r="A46" s="10">
        <v>47</v>
      </c>
      <c r="B46" s="30">
        <v>45887.685185185197</v>
      </c>
      <c r="C46" s="30">
        <v>45887.689467592601</v>
      </c>
      <c r="D46" s="12" t="s">
        <v>22</v>
      </c>
      <c r="E46" s="3"/>
      <c r="F46" s="12" t="s">
        <v>23</v>
      </c>
      <c r="G46" s="1">
        <v>45885</v>
      </c>
      <c r="H46" s="4" t="s">
        <v>302</v>
      </c>
      <c r="I46" s="3" t="s">
        <v>303</v>
      </c>
      <c r="J46" s="4" t="s">
        <v>304</v>
      </c>
      <c r="K46" s="4" t="s">
        <v>225</v>
      </c>
      <c r="L46" s="2"/>
      <c r="M46" s="3" t="s">
        <v>305</v>
      </c>
      <c r="N46" t="s">
        <v>306</v>
      </c>
      <c r="O46" s="2" t="s">
        <v>307</v>
      </c>
      <c r="P46" t="s">
        <v>308</v>
      </c>
      <c r="Q46" t="s">
        <v>214</v>
      </c>
      <c r="R46" s="2"/>
      <c r="S46" s="1"/>
      <c r="T46" s="1"/>
    </row>
    <row r="47" spans="1:22" hidden="1">
      <c r="A47" s="10">
        <v>48</v>
      </c>
      <c r="B47" s="30">
        <v>45888.720520833303</v>
      </c>
      <c r="C47" s="30">
        <v>45888.721863425897</v>
      </c>
      <c r="D47" s="12" t="s">
        <v>22</v>
      </c>
      <c r="E47" s="3"/>
      <c r="F47" s="12" t="s">
        <v>23</v>
      </c>
      <c r="G47" s="1">
        <v>45880</v>
      </c>
      <c r="H47" s="4" t="s">
        <v>309</v>
      </c>
      <c r="I47" s="3" t="s">
        <v>308</v>
      </c>
      <c r="J47" s="4" t="s">
        <v>310</v>
      </c>
      <c r="K47" s="4" t="s">
        <v>218</v>
      </c>
      <c r="L47" s="2"/>
      <c r="M47" s="3" t="s">
        <v>311</v>
      </c>
      <c r="N47" t="s">
        <v>312</v>
      </c>
      <c r="O47" s="2" t="s">
        <v>313</v>
      </c>
      <c r="P47" s="2" t="s">
        <v>42</v>
      </c>
      <c r="Q47" t="s">
        <v>214</v>
      </c>
      <c r="R47" s="2"/>
      <c r="S47" s="1"/>
      <c r="T47" s="1"/>
    </row>
    <row r="48" spans="1:22" hidden="1">
      <c r="A48" s="10">
        <v>49</v>
      </c>
      <c r="B48" s="30">
        <v>45889.556423611102</v>
      </c>
      <c r="C48" s="30">
        <v>45889.558229166701</v>
      </c>
      <c r="D48" s="12" t="s">
        <v>22</v>
      </c>
      <c r="E48" s="3"/>
      <c r="F48" s="12" t="s">
        <v>31</v>
      </c>
      <c r="G48" s="1">
        <v>45876</v>
      </c>
      <c r="H48" s="4" t="s">
        <v>314</v>
      </c>
      <c r="I48" s="3" t="s">
        <v>315</v>
      </c>
      <c r="J48" s="4" t="s">
        <v>224</v>
      </c>
      <c r="K48" s="4" t="s">
        <v>225</v>
      </c>
      <c r="L48" s="2"/>
      <c r="M48" s="3" t="s">
        <v>316</v>
      </c>
      <c r="N48" t="s">
        <v>317</v>
      </c>
      <c r="O48" s="2" t="s">
        <v>37</v>
      </c>
      <c r="P48" s="2" t="s">
        <v>228</v>
      </c>
      <c r="Q48" t="s">
        <v>204</v>
      </c>
      <c r="R48" s="2" t="s">
        <v>229</v>
      </c>
      <c r="S48" s="1"/>
      <c r="T48" s="1"/>
      <c r="U48" t="s">
        <v>230</v>
      </c>
    </row>
    <row r="49" spans="1:22" hidden="1">
      <c r="A49" s="10">
        <v>50</v>
      </c>
      <c r="B49" s="30">
        <v>45889.558726851901</v>
      </c>
      <c r="C49" s="30">
        <v>45889.560543981497</v>
      </c>
      <c r="D49" s="12" t="s">
        <v>22</v>
      </c>
      <c r="E49" s="3"/>
      <c r="F49" s="12" t="s">
        <v>157</v>
      </c>
      <c r="G49" s="1">
        <v>45889</v>
      </c>
      <c r="H49" s="4" t="s">
        <v>318</v>
      </c>
      <c r="I49" s="3" t="s">
        <v>319</v>
      </c>
      <c r="J49" s="4" t="s">
        <v>320</v>
      </c>
      <c r="K49" s="4" t="s">
        <v>235</v>
      </c>
      <c r="L49" s="2"/>
      <c r="M49" s="3" t="s">
        <v>321</v>
      </c>
      <c r="N49" t="s">
        <v>322</v>
      </c>
      <c r="O49" s="2" t="s">
        <v>260</v>
      </c>
      <c r="P49" s="2" t="s">
        <v>323</v>
      </c>
      <c r="Q49" t="s">
        <v>214</v>
      </c>
      <c r="R49" s="2"/>
      <c r="S49" s="1"/>
      <c r="T49" s="1"/>
    </row>
    <row r="50" spans="1:22" hidden="1">
      <c r="A50" s="10">
        <v>51</v>
      </c>
      <c r="B50" s="30">
        <v>45889.609398148197</v>
      </c>
      <c r="C50" s="30">
        <v>45889.611643518503</v>
      </c>
      <c r="D50" s="12" t="s">
        <v>22</v>
      </c>
      <c r="E50" s="3"/>
      <c r="F50" s="12" t="s">
        <v>39</v>
      </c>
      <c r="G50" s="11">
        <v>45876</v>
      </c>
      <c r="H50" s="13" t="s">
        <v>242</v>
      </c>
      <c r="I50" s="12" t="s">
        <v>243</v>
      </c>
      <c r="J50" s="13" t="s">
        <v>324</v>
      </c>
      <c r="K50" s="4" t="s">
        <v>245</v>
      </c>
      <c r="L50" s="2"/>
      <c r="M50" s="3" t="s">
        <v>325</v>
      </c>
      <c r="O50" s="2" t="s">
        <v>248</v>
      </c>
      <c r="P50" s="2" t="s">
        <v>243</v>
      </c>
      <c r="Q50" t="s">
        <v>204</v>
      </c>
      <c r="R50" s="2"/>
      <c r="S50" s="1"/>
      <c r="T50" s="1"/>
    </row>
    <row r="51" spans="1:22" hidden="1">
      <c r="A51" s="10">
        <v>52</v>
      </c>
      <c r="B51" s="30">
        <v>45889.6896180556</v>
      </c>
      <c r="C51" s="30">
        <v>45889.6944097222</v>
      </c>
      <c r="D51" s="12" t="s">
        <v>22</v>
      </c>
      <c r="E51" s="3"/>
      <c r="F51" s="12" t="s">
        <v>39</v>
      </c>
      <c r="G51" s="11">
        <v>45889</v>
      </c>
      <c r="H51" s="13" t="s">
        <v>326</v>
      </c>
      <c r="I51" s="12" t="s">
        <v>327</v>
      </c>
      <c r="J51" s="13" t="s">
        <v>172</v>
      </c>
      <c r="K51" s="4" t="s">
        <v>235</v>
      </c>
      <c r="L51" s="2"/>
      <c r="M51" s="3" t="s">
        <v>328</v>
      </c>
      <c r="N51" t="s">
        <v>329</v>
      </c>
      <c r="O51" s="2" t="s">
        <v>330</v>
      </c>
      <c r="P51" s="2" t="s">
        <v>330</v>
      </c>
      <c r="Q51" t="s">
        <v>204</v>
      </c>
      <c r="R51" s="2" t="s">
        <v>331</v>
      </c>
      <c r="S51" s="1"/>
      <c r="T51" s="1"/>
      <c r="U51" t="s">
        <v>230</v>
      </c>
      <c r="V51" t="s">
        <v>332</v>
      </c>
    </row>
    <row r="52" spans="1:22" hidden="1">
      <c r="A52" s="10">
        <v>53</v>
      </c>
      <c r="B52" s="30">
        <v>45891.534849536998</v>
      </c>
      <c r="C52" s="30">
        <v>45891.537361111099</v>
      </c>
      <c r="D52" s="12" t="s">
        <v>22</v>
      </c>
      <c r="E52" s="3"/>
      <c r="F52" s="12" t="s">
        <v>39</v>
      </c>
      <c r="G52" s="11">
        <v>45891</v>
      </c>
      <c r="H52" s="13" t="s">
        <v>333</v>
      </c>
      <c r="I52" s="12" t="s">
        <v>334</v>
      </c>
      <c r="J52" s="13" t="s">
        <v>335</v>
      </c>
      <c r="K52" s="4" t="s">
        <v>245</v>
      </c>
      <c r="L52" s="2"/>
      <c r="M52" s="3" t="s">
        <v>336</v>
      </c>
      <c r="O52" s="2" t="s">
        <v>48</v>
      </c>
      <c r="P52" s="2" t="s">
        <v>337</v>
      </c>
      <c r="Q52" t="s">
        <v>214</v>
      </c>
      <c r="R52" s="2"/>
      <c r="S52" s="1"/>
      <c r="T52" s="1"/>
    </row>
    <row r="53" spans="1:22" ht="16.5" hidden="1" customHeight="1">
      <c r="A53" s="10">
        <v>54</v>
      </c>
      <c r="B53" s="30">
        <v>45891.635821759301</v>
      </c>
      <c r="C53" s="30">
        <v>45891.645324074103</v>
      </c>
      <c r="D53" s="12" t="s">
        <v>22</v>
      </c>
      <c r="E53" s="3"/>
      <c r="F53" s="12" t="s">
        <v>39</v>
      </c>
      <c r="G53" s="11">
        <v>45880</v>
      </c>
      <c r="H53" s="13" t="s">
        <v>338</v>
      </c>
      <c r="I53" s="12" t="s">
        <v>339</v>
      </c>
      <c r="J53" s="13" t="s">
        <v>340</v>
      </c>
      <c r="K53" s="4" t="s">
        <v>235</v>
      </c>
      <c r="L53" s="2"/>
      <c r="M53" s="16" t="s">
        <v>341</v>
      </c>
      <c r="N53" t="s">
        <v>342</v>
      </c>
      <c r="O53" s="2" t="s">
        <v>343</v>
      </c>
      <c r="P53" s="2" t="s">
        <v>344</v>
      </c>
      <c r="Q53" t="s">
        <v>204</v>
      </c>
      <c r="R53" s="2" t="s">
        <v>345</v>
      </c>
      <c r="S53" s="1">
        <v>45881</v>
      </c>
      <c r="T53" s="1" t="s">
        <v>276</v>
      </c>
      <c r="U53" t="s">
        <v>277</v>
      </c>
      <c r="V53" t="s">
        <v>346</v>
      </c>
    </row>
    <row r="54" spans="1:22" hidden="1">
      <c r="A54" s="10">
        <v>56</v>
      </c>
      <c r="B54" s="30">
        <v>45891.698252314804</v>
      </c>
      <c r="C54" s="30">
        <v>45891.701921296299</v>
      </c>
      <c r="D54" s="12" t="s">
        <v>22</v>
      </c>
      <c r="E54" s="3"/>
      <c r="F54" s="12" t="s">
        <v>39</v>
      </c>
      <c r="G54" s="11">
        <v>45885</v>
      </c>
      <c r="H54" s="13" t="s">
        <v>347</v>
      </c>
      <c r="I54" s="12" t="s">
        <v>348</v>
      </c>
      <c r="J54" s="13" t="s">
        <v>349</v>
      </c>
      <c r="K54" s="4" t="s">
        <v>350</v>
      </c>
      <c r="L54" s="2"/>
      <c r="M54" s="3" t="s">
        <v>351</v>
      </c>
      <c r="O54" s="2" t="s">
        <v>182</v>
      </c>
      <c r="P54" s="2" t="s">
        <v>182</v>
      </c>
      <c r="Q54" t="s">
        <v>214</v>
      </c>
      <c r="R54" s="2"/>
      <c r="S54" s="1"/>
      <c r="T54" s="1"/>
    </row>
    <row r="55" spans="1:22" hidden="1">
      <c r="A55" s="10">
        <v>57</v>
      </c>
      <c r="B55" s="30">
        <v>45893.853969907403</v>
      </c>
      <c r="C55" s="30">
        <v>45893.861527777801</v>
      </c>
      <c r="D55" s="12" t="s">
        <v>22</v>
      </c>
      <c r="E55" s="3"/>
      <c r="F55" s="12" t="s">
        <v>39</v>
      </c>
      <c r="G55" s="11">
        <v>45893</v>
      </c>
      <c r="H55" s="13" t="s">
        <v>352</v>
      </c>
      <c r="I55" s="12" t="s">
        <v>353</v>
      </c>
      <c r="J55" s="13" t="s">
        <v>354</v>
      </c>
      <c r="K55" s="4" t="s">
        <v>245</v>
      </c>
      <c r="L55" s="2"/>
      <c r="M55" s="3" t="s">
        <v>355</v>
      </c>
      <c r="N55" t="s">
        <v>356</v>
      </c>
      <c r="O55" s="2" t="s">
        <v>357</v>
      </c>
      <c r="P55" s="2" t="s">
        <v>357</v>
      </c>
      <c r="Q55" t="s">
        <v>214</v>
      </c>
      <c r="R55" s="2"/>
      <c r="S55" s="1"/>
      <c r="T55" s="1"/>
    </row>
    <row r="56" spans="1:22" hidden="1">
      <c r="A56" s="10">
        <v>58</v>
      </c>
      <c r="B56" s="30">
        <v>45896.644398148099</v>
      </c>
      <c r="C56" s="30">
        <v>45896.645902777796</v>
      </c>
      <c r="D56" s="12" t="s">
        <v>22</v>
      </c>
      <c r="E56" s="3"/>
      <c r="F56" s="12" t="s">
        <v>39</v>
      </c>
      <c r="G56" s="11">
        <v>45896</v>
      </c>
      <c r="H56" s="13" t="s">
        <v>358</v>
      </c>
      <c r="I56" s="12" t="s">
        <v>359</v>
      </c>
      <c r="J56" s="13" t="s">
        <v>360</v>
      </c>
      <c r="K56" s="4" t="s">
        <v>218</v>
      </c>
      <c r="L56" s="2"/>
      <c r="M56" s="3" t="s">
        <v>361</v>
      </c>
      <c r="O56" s="2" t="s">
        <v>284</v>
      </c>
      <c r="P56" s="2" t="s">
        <v>362</v>
      </c>
      <c r="Q56" t="s">
        <v>214</v>
      </c>
      <c r="R56" s="2"/>
      <c r="S56" s="1"/>
      <c r="T56" s="1"/>
    </row>
    <row r="57" spans="1:22" hidden="1">
      <c r="A57" s="10">
        <v>59</v>
      </c>
      <c r="B57" s="30">
        <v>45899.424756944398</v>
      </c>
      <c r="C57" s="30">
        <v>45899.440752314797</v>
      </c>
      <c r="D57" s="12" t="s">
        <v>22</v>
      </c>
      <c r="E57" s="3"/>
      <c r="F57" s="12" t="s">
        <v>39</v>
      </c>
      <c r="G57" s="11">
        <v>45898</v>
      </c>
      <c r="H57" s="13" t="s">
        <v>363</v>
      </c>
      <c r="I57" s="12" t="s">
        <v>364</v>
      </c>
      <c r="J57" s="13" t="s">
        <v>365</v>
      </c>
      <c r="K57" s="4" t="s">
        <v>350</v>
      </c>
      <c r="L57" s="2"/>
      <c r="M57" s="3" t="s">
        <v>366</v>
      </c>
      <c r="N57" t="s">
        <v>367</v>
      </c>
      <c r="O57" s="2" t="s">
        <v>238</v>
      </c>
      <c r="P57" s="2" t="s">
        <v>238</v>
      </c>
      <c r="Q57" t="s">
        <v>214</v>
      </c>
      <c r="R57" s="2"/>
      <c r="S57" s="1"/>
      <c r="T57" s="1"/>
    </row>
    <row r="58" spans="1:22" hidden="1">
      <c r="A58" s="10">
        <v>60</v>
      </c>
      <c r="B58" s="30">
        <v>45900.501030092601</v>
      </c>
      <c r="C58" s="30">
        <v>45900.505983796298</v>
      </c>
      <c r="D58" s="12" t="s">
        <v>22</v>
      </c>
      <c r="E58" s="3"/>
      <c r="F58" s="12" t="s">
        <v>39</v>
      </c>
      <c r="G58" s="11">
        <v>45900</v>
      </c>
      <c r="H58" s="13" t="s">
        <v>368</v>
      </c>
      <c r="I58" s="12" t="s">
        <v>369</v>
      </c>
      <c r="J58" s="13" t="s">
        <v>370</v>
      </c>
      <c r="K58" s="4" t="s">
        <v>235</v>
      </c>
      <c r="L58" s="2"/>
      <c r="M58" s="3" t="s">
        <v>371</v>
      </c>
      <c r="N58" t="s">
        <v>372</v>
      </c>
      <c r="O58" s="2" t="s">
        <v>135</v>
      </c>
      <c r="P58" s="2" t="s">
        <v>373</v>
      </c>
      <c r="Q58" t="s">
        <v>214</v>
      </c>
      <c r="R58" s="2"/>
      <c r="S58" s="1"/>
      <c r="T58" s="1"/>
    </row>
    <row r="59" spans="1:22" hidden="1">
      <c r="A59" s="10">
        <v>61</v>
      </c>
      <c r="B59" s="30">
        <v>45900.546180555597</v>
      </c>
      <c r="C59" s="30">
        <v>45900.552916666697</v>
      </c>
      <c r="D59" s="12" t="s">
        <v>22</v>
      </c>
      <c r="E59" s="3"/>
      <c r="F59" s="12" t="s">
        <v>39</v>
      </c>
      <c r="G59" s="11">
        <v>45895</v>
      </c>
      <c r="H59" s="13" t="s">
        <v>374</v>
      </c>
      <c r="I59" s="13" t="s">
        <v>375</v>
      </c>
      <c r="J59" s="13" t="s">
        <v>54</v>
      </c>
      <c r="K59" s="4" t="s">
        <v>350</v>
      </c>
      <c r="L59" s="2"/>
      <c r="M59" s="3" t="s">
        <v>376</v>
      </c>
      <c r="O59" s="2" t="s">
        <v>54</v>
      </c>
      <c r="P59" s="2" t="s">
        <v>54</v>
      </c>
      <c r="Q59" t="s">
        <v>204</v>
      </c>
      <c r="R59" s="2"/>
      <c r="S59" s="1"/>
      <c r="T59" s="1"/>
    </row>
    <row r="60" spans="1:22" hidden="1">
      <c r="A60" s="10">
        <v>62</v>
      </c>
      <c r="B60" s="30">
        <v>45901.701828703699</v>
      </c>
      <c r="C60" s="30">
        <v>45901.709143518499</v>
      </c>
      <c r="D60" s="12" t="s">
        <v>22</v>
      </c>
      <c r="E60" s="3"/>
      <c r="F60" s="12" t="s">
        <v>150</v>
      </c>
      <c r="G60" s="1">
        <v>45900</v>
      </c>
      <c r="H60" s="4" t="s">
        <v>377</v>
      </c>
      <c r="I60" s="3" t="s">
        <v>378</v>
      </c>
      <c r="J60" s="4" t="s">
        <v>379</v>
      </c>
      <c r="K60" s="4" t="s">
        <v>218</v>
      </c>
      <c r="L60" s="2"/>
      <c r="M60" s="3" t="s">
        <v>380</v>
      </c>
      <c r="N60" t="s">
        <v>381</v>
      </c>
      <c r="O60" s="2" t="s">
        <v>382</v>
      </c>
      <c r="P60" s="2" t="s">
        <v>383</v>
      </c>
      <c r="Q60" t="s">
        <v>214</v>
      </c>
      <c r="R60" s="2"/>
      <c r="S60" s="1"/>
      <c r="T60" s="1"/>
    </row>
    <row r="61" spans="1:22" hidden="1">
      <c r="A61" s="10">
        <v>63</v>
      </c>
      <c r="B61" s="30">
        <v>45904.590740740699</v>
      </c>
      <c r="C61" s="30">
        <v>45904.595752314803</v>
      </c>
      <c r="D61" s="12" t="s">
        <v>22</v>
      </c>
      <c r="E61" s="3"/>
      <c r="F61" s="12" t="s">
        <v>39</v>
      </c>
      <c r="G61" s="11">
        <v>45895</v>
      </c>
      <c r="H61" s="13" t="s">
        <v>384</v>
      </c>
      <c r="I61" s="12" t="s">
        <v>54</v>
      </c>
      <c r="J61" s="13" t="s">
        <v>54</v>
      </c>
      <c r="K61" s="4" t="s">
        <v>350</v>
      </c>
      <c r="L61" s="2"/>
      <c r="M61" s="3" t="s">
        <v>385</v>
      </c>
      <c r="N61" t="s">
        <v>386</v>
      </c>
      <c r="O61" s="2" t="s">
        <v>387</v>
      </c>
      <c r="P61" s="2" t="s">
        <v>388</v>
      </c>
      <c r="Q61" t="s">
        <v>204</v>
      </c>
      <c r="R61" s="9">
        <v>21250017440</v>
      </c>
      <c r="S61" s="1">
        <v>45895</v>
      </c>
      <c r="T61" s="1" t="s">
        <v>240</v>
      </c>
      <c r="U61" t="s">
        <v>389</v>
      </c>
    </row>
    <row r="62" spans="1:22" hidden="1">
      <c r="A62" s="10">
        <v>64</v>
      </c>
      <c r="B62" s="30">
        <v>45904.594212962998</v>
      </c>
      <c r="C62" s="30">
        <v>45904.597557870402</v>
      </c>
      <c r="D62" s="12" t="s">
        <v>22</v>
      </c>
      <c r="E62" s="3"/>
      <c r="F62" s="12" t="s">
        <v>39</v>
      </c>
      <c r="G62" s="11">
        <v>45897</v>
      </c>
      <c r="H62" s="13" t="s">
        <v>390</v>
      </c>
      <c r="I62" s="12" t="s">
        <v>391</v>
      </c>
      <c r="J62" s="13" t="s">
        <v>392</v>
      </c>
      <c r="K62" s="4" t="s">
        <v>235</v>
      </c>
      <c r="L62" s="2"/>
      <c r="M62" s="3" t="s">
        <v>393</v>
      </c>
      <c r="N62" t="s">
        <v>394</v>
      </c>
      <c r="O62" s="2" t="s">
        <v>343</v>
      </c>
      <c r="P62" s="2" t="s">
        <v>344</v>
      </c>
      <c r="Q62" t="s">
        <v>204</v>
      </c>
      <c r="R62" s="2">
        <v>21250017315</v>
      </c>
      <c r="S62" s="1"/>
      <c r="T62" s="1"/>
    </row>
    <row r="63" spans="1:22" hidden="1">
      <c r="A63" s="10">
        <v>65</v>
      </c>
      <c r="B63" s="30">
        <v>45905.571192129602</v>
      </c>
      <c r="C63" s="30">
        <v>45905.573738425897</v>
      </c>
      <c r="D63" s="12" t="s">
        <v>22</v>
      </c>
      <c r="E63" s="3"/>
      <c r="F63" s="12" t="s">
        <v>157</v>
      </c>
      <c r="G63" s="1">
        <v>45904</v>
      </c>
      <c r="H63" s="4" t="s">
        <v>395</v>
      </c>
      <c r="I63" s="3" t="s">
        <v>396</v>
      </c>
      <c r="J63" s="4" t="s">
        <v>397</v>
      </c>
      <c r="K63" s="4" t="s">
        <v>218</v>
      </c>
      <c r="L63" s="2"/>
      <c r="M63" s="3" t="s">
        <v>398</v>
      </c>
      <c r="N63" t="s">
        <v>399</v>
      </c>
      <c r="O63" s="2" t="s">
        <v>260</v>
      </c>
      <c r="P63" s="2" t="s">
        <v>400</v>
      </c>
      <c r="Q63" t="s">
        <v>214</v>
      </c>
      <c r="R63" s="2"/>
      <c r="S63" s="1"/>
      <c r="T63" s="1"/>
    </row>
    <row r="64" spans="1:22" hidden="1">
      <c r="A64" s="10">
        <v>66</v>
      </c>
      <c r="B64" s="30">
        <v>45906.742476851898</v>
      </c>
      <c r="C64" s="30">
        <v>45906.747314814798</v>
      </c>
      <c r="D64" s="12" t="s">
        <v>22</v>
      </c>
      <c r="E64" s="3"/>
      <c r="F64" s="12" t="s">
        <v>39</v>
      </c>
      <c r="G64" s="11">
        <v>45906</v>
      </c>
      <c r="H64" s="13" t="s">
        <v>401</v>
      </c>
      <c r="I64" s="12" t="s">
        <v>402</v>
      </c>
      <c r="J64" s="13" t="s">
        <v>403</v>
      </c>
      <c r="K64" s="4" t="s">
        <v>218</v>
      </c>
      <c r="L64" s="2"/>
      <c r="M64" s="3" t="s">
        <v>404</v>
      </c>
      <c r="N64" s="2" t="s">
        <v>42</v>
      </c>
      <c r="O64" s="2" t="s">
        <v>405</v>
      </c>
      <c r="P64" s="2" t="s">
        <v>362</v>
      </c>
      <c r="Q64" t="s">
        <v>214</v>
      </c>
      <c r="R64" s="2"/>
      <c r="S64" s="1"/>
      <c r="T64" s="1"/>
    </row>
    <row r="65" spans="1:22" hidden="1">
      <c r="A65" s="10">
        <v>67</v>
      </c>
      <c r="B65" s="30">
        <v>45907.719733796301</v>
      </c>
      <c r="C65" s="30">
        <v>45907.721064814803</v>
      </c>
      <c r="D65" s="12" t="s">
        <v>22</v>
      </c>
      <c r="E65" s="3"/>
      <c r="F65" s="12" t="s">
        <v>39</v>
      </c>
      <c r="G65" s="11">
        <v>45905</v>
      </c>
      <c r="H65" s="13" t="s">
        <v>406</v>
      </c>
      <c r="I65" s="12" t="s">
        <v>407</v>
      </c>
      <c r="J65" s="13" t="s">
        <v>408</v>
      </c>
      <c r="K65" s="4" t="s">
        <v>235</v>
      </c>
      <c r="L65" s="2"/>
      <c r="M65" s="3" t="s">
        <v>409</v>
      </c>
      <c r="O65" s="2" t="s">
        <v>93</v>
      </c>
      <c r="P65" s="2" t="s">
        <v>410</v>
      </c>
      <c r="Q65" t="s">
        <v>204</v>
      </c>
      <c r="R65" s="2"/>
      <c r="S65" s="1"/>
      <c r="T65" s="1"/>
    </row>
    <row r="66" spans="1:22" hidden="1">
      <c r="A66" s="10">
        <v>68</v>
      </c>
      <c r="B66" s="30">
        <v>45908.449097222197</v>
      </c>
      <c r="C66" s="30">
        <v>45908.452696759297</v>
      </c>
      <c r="D66" s="12" t="s">
        <v>22</v>
      </c>
      <c r="E66" s="3"/>
      <c r="F66" s="12" t="s">
        <v>39</v>
      </c>
      <c r="G66" s="11">
        <v>45897</v>
      </c>
      <c r="H66" s="13" t="s">
        <v>411</v>
      </c>
      <c r="I66" s="12" t="s">
        <v>412</v>
      </c>
      <c r="J66" s="13" t="s">
        <v>413</v>
      </c>
      <c r="K66" s="4" t="s">
        <v>235</v>
      </c>
      <c r="L66" s="2"/>
      <c r="M66" s="3" t="s">
        <v>414</v>
      </c>
      <c r="N66" t="s">
        <v>415</v>
      </c>
      <c r="O66" s="2" t="s">
        <v>93</v>
      </c>
      <c r="P66" s="2" t="s">
        <v>93</v>
      </c>
      <c r="Q66" t="s">
        <v>204</v>
      </c>
      <c r="R66" s="2" t="s">
        <v>416</v>
      </c>
      <c r="S66" s="1">
        <v>45897</v>
      </c>
      <c r="T66" s="1" t="s">
        <v>240</v>
      </c>
      <c r="U66" t="s">
        <v>230</v>
      </c>
      <c r="V66" t="s">
        <v>417</v>
      </c>
    </row>
    <row r="67" spans="1:22" hidden="1">
      <c r="A67" s="10">
        <v>69</v>
      </c>
      <c r="B67" s="30">
        <v>45908.632974537002</v>
      </c>
      <c r="C67" s="30">
        <v>45908.6387384259</v>
      </c>
      <c r="D67" s="12" t="s">
        <v>22</v>
      </c>
      <c r="E67" s="3"/>
      <c r="F67" s="12" t="s">
        <v>39</v>
      </c>
      <c r="G67" s="11">
        <v>45904</v>
      </c>
      <c r="H67" s="13" t="s">
        <v>418</v>
      </c>
      <c r="I67" s="12" t="s">
        <v>419</v>
      </c>
      <c r="J67" s="13" t="s">
        <v>408</v>
      </c>
      <c r="K67" s="4" t="s">
        <v>235</v>
      </c>
      <c r="L67" s="2"/>
      <c r="M67" s="3" t="s">
        <v>420</v>
      </c>
      <c r="N67" t="s">
        <v>421</v>
      </c>
      <c r="O67" s="2" t="s">
        <v>93</v>
      </c>
      <c r="P67" s="2" t="s">
        <v>93</v>
      </c>
      <c r="Q67" t="s">
        <v>204</v>
      </c>
      <c r="R67" s="2" t="s">
        <v>422</v>
      </c>
      <c r="S67" s="1">
        <v>45904</v>
      </c>
      <c r="T67" s="1" t="s">
        <v>276</v>
      </c>
      <c r="U67" t="s">
        <v>423</v>
      </c>
      <c r="V67" t="s">
        <v>424</v>
      </c>
    </row>
    <row r="68" spans="1:22" hidden="1">
      <c r="A68" s="10">
        <v>70</v>
      </c>
      <c r="B68" s="30">
        <v>45909.457835648202</v>
      </c>
      <c r="C68" s="30">
        <v>45909.461562500001</v>
      </c>
      <c r="D68" s="12" t="s">
        <v>22</v>
      </c>
      <c r="E68" s="3"/>
      <c r="F68" s="12" t="s">
        <v>39</v>
      </c>
      <c r="G68" s="11">
        <v>45909</v>
      </c>
      <c r="H68" s="13" t="s">
        <v>425</v>
      </c>
      <c r="I68" s="12" t="s">
        <v>426</v>
      </c>
      <c r="J68" s="13" t="s">
        <v>427</v>
      </c>
      <c r="K68" s="4" t="s">
        <v>428</v>
      </c>
      <c r="L68" s="2"/>
      <c r="M68" s="3" t="s">
        <v>429</v>
      </c>
      <c r="N68" t="s">
        <v>430</v>
      </c>
      <c r="O68" s="2" t="s">
        <v>431</v>
      </c>
      <c r="P68" s="2" t="s">
        <v>182</v>
      </c>
      <c r="Q68" t="s">
        <v>204</v>
      </c>
      <c r="R68" s="15">
        <v>2.12500155732125E+21</v>
      </c>
      <c r="S68" s="1">
        <v>45881</v>
      </c>
      <c r="T68" s="1"/>
      <c r="U68" t="s">
        <v>277</v>
      </c>
    </row>
    <row r="69" spans="1:22" hidden="1">
      <c r="A69" s="10">
        <v>71</v>
      </c>
      <c r="B69" s="30">
        <v>45917.381168981497</v>
      </c>
      <c r="C69" s="30">
        <v>45917.383796296301</v>
      </c>
      <c r="D69" s="12" t="s">
        <v>22</v>
      </c>
      <c r="E69" s="3"/>
      <c r="F69" s="12" t="s">
        <v>39</v>
      </c>
      <c r="G69" s="11">
        <v>45912</v>
      </c>
      <c r="H69" s="13" t="s">
        <v>432</v>
      </c>
      <c r="I69" s="12" t="s">
        <v>433</v>
      </c>
      <c r="J69" s="13" t="s">
        <v>434</v>
      </c>
      <c r="K69" s="4" t="s">
        <v>428</v>
      </c>
      <c r="L69" s="2"/>
      <c r="M69" s="3" t="s">
        <v>435</v>
      </c>
      <c r="N69" t="s">
        <v>436</v>
      </c>
      <c r="O69" s="2" t="s">
        <v>238</v>
      </c>
      <c r="P69" s="2" t="s">
        <v>238</v>
      </c>
      <c r="Q69" t="s">
        <v>214</v>
      </c>
      <c r="R69" s="2"/>
      <c r="S69" s="1"/>
      <c r="T69" s="1"/>
    </row>
    <row r="70" spans="1:22" hidden="1">
      <c r="A70" s="10">
        <v>72</v>
      </c>
      <c r="B70" s="30">
        <v>45917.383842592601</v>
      </c>
      <c r="C70" s="30">
        <v>45917.385405092602</v>
      </c>
      <c r="D70" s="12" t="s">
        <v>22</v>
      </c>
      <c r="E70" s="3"/>
      <c r="F70" s="12" t="s">
        <v>39</v>
      </c>
      <c r="G70" s="11">
        <v>45909</v>
      </c>
      <c r="H70" s="13" t="s">
        <v>437</v>
      </c>
      <c r="I70" s="12" t="s">
        <v>438</v>
      </c>
      <c r="J70" s="13" t="s">
        <v>439</v>
      </c>
      <c r="K70" s="4" t="s">
        <v>235</v>
      </c>
      <c r="L70" s="2"/>
      <c r="M70" s="3" t="s">
        <v>440</v>
      </c>
      <c r="N70" t="s">
        <v>441</v>
      </c>
      <c r="O70" s="2" t="s">
        <v>238</v>
      </c>
      <c r="P70" s="2" t="s">
        <v>238</v>
      </c>
      <c r="Q70" t="s">
        <v>214</v>
      </c>
      <c r="R70" s="2"/>
      <c r="S70" s="1"/>
      <c r="T70" s="1"/>
    </row>
    <row r="71" spans="1:22" hidden="1">
      <c r="A71" s="10">
        <v>73</v>
      </c>
      <c r="B71" s="30">
        <v>45917.862951388903</v>
      </c>
      <c r="C71" s="30">
        <v>45917.870069444398</v>
      </c>
      <c r="D71" s="12" t="s">
        <v>22</v>
      </c>
      <c r="E71" s="3"/>
      <c r="F71" s="12" t="s">
        <v>39</v>
      </c>
      <c r="G71" s="11">
        <v>45915</v>
      </c>
      <c r="H71" s="13" t="s">
        <v>442</v>
      </c>
      <c r="I71" s="12" t="s">
        <v>443</v>
      </c>
      <c r="J71" s="13" t="s">
        <v>444</v>
      </c>
      <c r="K71" s="4" t="s">
        <v>218</v>
      </c>
      <c r="L71" s="2"/>
      <c r="M71" s="27" t="s">
        <v>445</v>
      </c>
      <c r="N71" t="s">
        <v>446</v>
      </c>
      <c r="O71" s="2" t="s">
        <v>447</v>
      </c>
      <c r="P71" s="2" t="s">
        <v>448</v>
      </c>
      <c r="Q71" t="s">
        <v>204</v>
      </c>
      <c r="R71" s="2" t="s">
        <v>449</v>
      </c>
      <c r="S71" s="1">
        <v>45915</v>
      </c>
      <c r="T71" s="1" t="s">
        <v>240</v>
      </c>
      <c r="U71" t="s">
        <v>277</v>
      </c>
      <c r="V71" t="s">
        <v>450</v>
      </c>
    </row>
    <row r="72" spans="1:22" hidden="1">
      <c r="A72" s="10">
        <v>74</v>
      </c>
      <c r="B72" s="30">
        <v>45918.683506944399</v>
      </c>
      <c r="C72" s="30">
        <v>45918.688969907402</v>
      </c>
      <c r="D72" s="12" t="s">
        <v>22</v>
      </c>
      <c r="E72" s="3"/>
      <c r="F72" s="12" t="s">
        <v>150</v>
      </c>
      <c r="G72" s="11">
        <v>45915</v>
      </c>
      <c r="H72" s="13" t="s">
        <v>451</v>
      </c>
      <c r="I72" s="12" t="s">
        <v>452</v>
      </c>
      <c r="J72" s="13" t="s">
        <v>153</v>
      </c>
      <c r="K72" s="4" t="s">
        <v>235</v>
      </c>
      <c r="L72" s="2"/>
      <c r="M72" s="3" t="s">
        <v>453</v>
      </c>
      <c r="N72" t="s">
        <v>454</v>
      </c>
      <c r="O72" s="2" t="s">
        <v>155</v>
      </c>
      <c r="P72" s="2" t="s">
        <v>455</v>
      </c>
      <c r="Q72" t="s">
        <v>204</v>
      </c>
      <c r="R72" s="2" t="s">
        <v>456</v>
      </c>
      <c r="S72" s="1">
        <v>45916</v>
      </c>
      <c r="T72" s="1" t="s">
        <v>276</v>
      </c>
      <c r="U72" t="s">
        <v>423</v>
      </c>
      <c r="V72" t="s">
        <v>457</v>
      </c>
    </row>
    <row r="73" spans="1:22" hidden="1">
      <c r="A73" s="10">
        <v>75</v>
      </c>
      <c r="B73" s="30">
        <v>45918.689016203702</v>
      </c>
      <c r="C73" s="30">
        <v>45918.700972222199</v>
      </c>
      <c r="D73" s="12" t="s">
        <v>22</v>
      </c>
      <c r="E73" s="3"/>
      <c r="F73" s="12" t="s">
        <v>150</v>
      </c>
      <c r="G73" s="11">
        <v>45908</v>
      </c>
      <c r="H73" s="13" t="s">
        <v>458</v>
      </c>
      <c r="I73" s="12" t="s">
        <v>452</v>
      </c>
      <c r="J73" s="13" t="s">
        <v>153</v>
      </c>
      <c r="K73" s="4" t="s">
        <v>235</v>
      </c>
      <c r="L73" s="2"/>
      <c r="M73" s="3" t="s">
        <v>459</v>
      </c>
      <c r="N73" t="s">
        <v>460</v>
      </c>
      <c r="O73" s="2" t="s">
        <v>155</v>
      </c>
      <c r="P73" s="2" t="s">
        <v>461</v>
      </c>
      <c r="Q73" t="s">
        <v>204</v>
      </c>
      <c r="R73" s="2" t="s">
        <v>462</v>
      </c>
      <c r="S73" s="1">
        <v>45909</v>
      </c>
      <c r="T73" s="1" t="s">
        <v>276</v>
      </c>
      <c r="U73" t="s">
        <v>277</v>
      </c>
      <c r="V73" t="s">
        <v>463</v>
      </c>
    </row>
    <row r="74" spans="1:22" hidden="1">
      <c r="A74" s="10">
        <v>76</v>
      </c>
      <c r="B74" s="30">
        <v>45919.932222222204</v>
      </c>
      <c r="C74" s="30">
        <v>45919.934513888897</v>
      </c>
      <c r="D74" s="12" t="s">
        <v>22</v>
      </c>
      <c r="E74" s="3"/>
      <c r="F74" s="12" t="s">
        <v>39</v>
      </c>
      <c r="G74" s="11">
        <v>45919</v>
      </c>
      <c r="H74" s="13" t="s">
        <v>464</v>
      </c>
      <c r="I74" s="12" t="s">
        <v>465</v>
      </c>
      <c r="J74" s="13" t="s">
        <v>466</v>
      </c>
      <c r="K74" s="4" t="s">
        <v>218</v>
      </c>
      <c r="L74" s="2"/>
      <c r="M74" s="27" t="s">
        <v>467</v>
      </c>
      <c r="N74" t="s">
        <v>468</v>
      </c>
      <c r="O74" s="2" t="s">
        <v>469</v>
      </c>
      <c r="P74" s="2" t="s">
        <v>470</v>
      </c>
      <c r="Q74" t="s">
        <v>214</v>
      </c>
      <c r="R74" s="2"/>
      <c r="S74" s="1"/>
      <c r="T74" s="1"/>
    </row>
    <row r="75" spans="1:22" hidden="1">
      <c r="A75" s="10">
        <v>77</v>
      </c>
      <c r="B75" s="30">
        <v>45921.321550925903</v>
      </c>
      <c r="C75" s="30">
        <v>45921.324189814797</v>
      </c>
      <c r="D75" s="12" t="s">
        <v>22</v>
      </c>
      <c r="E75" s="3"/>
      <c r="F75" s="12" t="s">
        <v>39</v>
      </c>
      <c r="G75" s="11">
        <v>45919</v>
      </c>
      <c r="H75" s="13" t="s">
        <v>471</v>
      </c>
      <c r="I75" s="12" t="s">
        <v>472</v>
      </c>
      <c r="J75" s="13" t="s">
        <v>473</v>
      </c>
      <c r="K75" s="4" t="s">
        <v>235</v>
      </c>
      <c r="L75" s="2"/>
      <c r="M75" s="3" t="s">
        <v>474</v>
      </c>
      <c r="N75" t="s">
        <v>475</v>
      </c>
      <c r="O75" s="2" t="s">
        <v>476</v>
      </c>
      <c r="P75" s="2" t="s">
        <v>476</v>
      </c>
      <c r="Q75" t="s">
        <v>214</v>
      </c>
      <c r="R75" s="2"/>
      <c r="S75" s="1"/>
      <c r="T75" s="1"/>
    </row>
    <row r="76" spans="1:22" hidden="1">
      <c r="A76" s="10">
        <v>78</v>
      </c>
      <c r="B76" s="30">
        <v>45922.449687499997</v>
      </c>
      <c r="C76" s="30">
        <v>45922.450717592597</v>
      </c>
      <c r="D76" s="12" t="s">
        <v>22</v>
      </c>
      <c r="E76" s="3"/>
      <c r="F76" s="12" t="s">
        <v>39</v>
      </c>
      <c r="G76" s="11">
        <v>45914</v>
      </c>
      <c r="H76" s="13" t="s">
        <v>477</v>
      </c>
      <c r="I76" s="12" t="s">
        <v>478</v>
      </c>
      <c r="J76" s="13" t="s">
        <v>479</v>
      </c>
      <c r="K76" s="4" t="s">
        <v>235</v>
      </c>
      <c r="L76" s="2"/>
      <c r="M76" s="3" t="s">
        <v>480</v>
      </c>
      <c r="N76" t="s">
        <v>481</v>
      </c>
      <c r="O76" s="2" t="s">
        <v>482</v>
      </c>
      <c r="P76" s="2" t="s">
        <v>483</v>
      </c>
      <c r="Q76" t="s">
        <v>214</v>
      </c>
      <c r="R76" s="2"/>
      <c r="S76" s="1"/>
      <c r="T76" s="1"/>
    </row>
    <row r="77" spans="1:22" hidden="1">
      <c r="A77" s="10">
        <v>79</v>
      </c>
      <c r="B77" s="30">
        <v>45922.695462962998</v>
      </c>
      <c r="C77" s="30">
        <v>45922.699942129599</v>
      </c>
      <c r="D77" s="12" t="s">
        <v>22</v>
      </c>
      <c r="E77" s="3"/>
      <c r="F77" s="12" t="s">
        <v>39</v>
      </c>
      <c r="G77" s="11">
        <v>45922</v>
      </c>
      <c r="H77" s="13" t="s">
        <v>484</v>
      </c>
      <c r="I77" s="12" t="s">
        <v>485</v>
      </c>
      <c r="J77" s="13" t="s">
        <v>486</v>
      </c>
      <c r="K77" s="4" t="s">
        <v>218</v>
      </c>
      <c r="L77" s="2"/>
      <c r="M77" s="3" t="s">
        <v>487</v>
      </c>
      <c r="N77" t="s">
        <v>488</v>
      </c>
      <c r="O77" s="2" t="s">
        <v>42</v>
      </c>
      <c r="P77" s="2" t="s">
        <v>489</v>
      </c>
      <c r="Q77" t="s">
        <v>214</v>
      </c>
      <c r="R77" s="2"/>
      <c r="S77" s="1"/>
      <c r="T77" s="1"/>
    </row>
    <row r="78" spans="1:22" hidden="1">
      <c r="A78" s="10">
        <v>80</v>
      </c>
      <c r="B78" s="30">
        <v>45925.377083333296</v>
      </c>
      <c r="C78" s="30">
        <v>45925.380543981497</v>
      </c>
      <c r="D78" s="12" t="s">
        <v>22</v>
      </c>
      <c r="E78" s="3"/>
      <c r="F78" s="12" t="s">
        <v>39</v>
      </c>
      <c r="G78" s="11">
        <v>45924</v>
      </c>
      <c r="H78" s="13" t="s">
        <v>490</v>
      </c>
      <c r="I78" s="12" t="s">
        <v>491</v>
      </c>
      <c r="J78" s="13" t="s">
        <v>492</v>
      </c>
      <c r="K78" s="4" t="s">
        <v>218</v>
      </c>
      <c r="L78" s="2"/>
      <c r="M78" s="3" t="s">
        <v>493</v>
      </c>
      <c r="N78" t="s">
        <v>494</v>
      </c>
      <c r="O78" s="2" t="s">
        <v>495</v>
      </c>
      <c r="P78" s="2" t="s">
        <v>496</v>
      </c>
      <c r="Q78" t="s">
        <v>214</v>
      </c>
      <c r="R78" s="2"/>
      <c r="S78" s="1"/>
      <c r="T78" s="1"/>
    </row>
    <row r="79" spans="1:22" hidden="1">
      <c r="A79" s="10">
        <v>81</v>
      </c>
      <c r="B79" s="30">
        <v>45926.689317129603</v>
      </c>
      <c r="C79" s="30">
        <v>45926.695254629602</v>
      </c>
      <c r="D79" s="12" t="s">
        <v>22</v>
      </c>
      <c r="E79" s="3"/>
      <c r="F79" s="12" t="s">
        <v>39</v>
      </c>
      <c r="G79" s="11">
        <v>45925</v>
      </c>
      <c r="H79" s="13" t="s">
        <v>497</v>
      </c>
      <c r="I79" s="12" t="s">
        <v>243</v>
      </c>
      <c r="J79" s="13" t="s">
        <v>324</v>
      </c>
      <c r="K79" s="4" t="s">
        <v>282</v>
      </c>
      <c r="L79" s="2"/>
      <c r="M79" s="3" t="s">
        <v>498</v>
      </c>
      <c r="N79" t="s">
        <v>499</v>
      </c>
      <c r="O79" s="2" t="s">
        <v>248</v>
      </c>
      <c r="P79" s="2" t="s">
        <v>500</v>
      </c>
      <c r="Q79" t="s">
        <v>204</v>
      </c>
      <c r="R79" s="2" t="s">
        <v>501</v>
      </c>
      <c r="S79" s="1">
        <v>45925</v>
      </c>
      <c r="T79" s="1" t="s">
        <v>502</v>
      </c>
      <c r="U79" t="s">
        <v>230</v>
      </c>
      <c r="V79" t="s">
        <v>503</v>
      </c>
    </row>
    <row r="80" spans="1:22" hidden="1">
      <c r="A80" s="10">
        <v>82</v>
      </c>
      <c r="B80" s="30">
        <v>45929.482928240701</v>
      </c>
      <c r="C80" s="30">
        <v>45929.486817129597</v>
      </c>
      <c r="D80" s="12" t="s">
        <v>22</v>
      </c>
      <c r="E80" s="3"/>
      <c r="F80" s="12" t="s">
        <v>31</v>
      </c>
      <c r="G80" s="11">
        <v>45913</v>
      </c>
      <c r="H80" s="13" t="s">
        <v>504</v>
      </c>
      <c r="I80" s="12" t="s">
        <v>505</v>
      </c>
      <c r="J80" s="13" t="s">
        <v>506</v>
      </c>
      <c r="K80" s="4" t="s">
        <v>245</v>
      </c>
      <c r="L80" s="2"/>
      <c r="M80" s="3" t="s">
        <v>507</v>
      </c>
      <c r="N80" t="s">
        <v>508</v>
      </c>
      <c r="O80" s="2" t="s">
        <v>495</v>
      </c>
      <c r="P80" s="2" t="s">
        <v>505</v>
      </c>
      <c r="Q80" t="s">
        <v>214</v>
      </c>
      <c r="R80" s="2"/>
      <c r="S80" s="1"/>
      <c r="T80" s="1"/>
    </row>
    <row r="81" spans="1:22" hidden="1">
      <c r="A81" s="10">
        <v>83</v>
      </c>
      <c r="B81" s="30">
        <v>45932.5617824074</v>
      </c>
      <c r="C81" s="30">
        <v>45932.564780092602</v>
      </c>
      <c r="D81" s="12" t="s">
        <v>22</v>
      </c>
      <c r="E81" s="3"/>
      <c r="F81" s="12" t="s">
        <v>39</v>
      </c>
      <c r="G81" s="11">
        <v>45932</v>
      </c>
      <c r="H81" s="13" t="s">
        <v>509</v>
      </c>
      <c r="I81" s="12" t="s">
        <v>510</v>
      </c>
      <c r="J81" s="13" t="s">
        <v>511</v>
      </c>
      <c r="K81" s="4" t="s">
        <v>218</v>
      </c>
      <c r="L81" s="2"/>
      <c r="M81" s="3" t="s">
        <v>512</v>
      </c>
      <c r="O81" s="2" t="s">
        <v>42</v>
      </c>
      <c r="P81" s="2" t="s">
        <v>42</v>
      </c>
      <c r="Q81" t="s">
        <v>214</v>
      </c>
      <c r="R81" s="2"/>
      <c r="S81" s="1"/>
      <c r="T81" s="1"/>
    </row>
    <row r="82" spans="1:22" hidden="1">
      <c r="A82" s="10">
        <v>84</v>
      </c>
      <c r="B82" s="30">
        <v>45936.940960648099</v>
      </c>
      <c r="C82" s="30">
        <v>45936.943946759297</v>
      </c>
      <c r="D82" s="12" t="s">
        <v>22</v>
      </c>
      <c r="E82" s="3"/>
      <c r="F82" s="12" t="s">
        <v>39</v>
      </c>
      <c r="G82" s="11">
        <v>45936</v>
      </c>
      <c r="H82" s="13" t="s">
        <v>513</v>
      </c>
      <c r="I82" s="12" t="s">
        <v>514</v>
      </c>
      <c r="J82" s="13" t="s">
        <v>515</v>
      </c>
      <c r="K82" s="4" t="s">
        <v>218</v>
      </c>
      <c r="L82" s="2"/>
      <c r="M82" s="3" t="s">
        <v>516</v>
      </c>
      <c r="O82" s="2" t="s">
        <v>517</v>
      </c>
      <c r="P82" s="2" t="s">
        <v>514</v>
      </c>
      <c r="Q82" t="s">
        <v>204</v>
      </c>
      <c r="R82" s="2" t="s">
        <v>518</v>
      </c>
      <c r="S82" s="1">
        <v>45931</v>
      </c>
      <c r="T82" s="1" t="s">
        <v>276</v>
      </c>
      <c r="U82" t="s">
        <v>423</v>
      </c>
      <c r="V82" t="s">
        <v>519</v>
      </c>
    </row>
    <row r="83" spans="1:22" hidden="1">
      <c r="A83" s="10">
        <v>85</v>
      </c>
      <c r="B83" s="30">
        <v>45936.946469907401</v>
      </c>
      <c r="C83" s="30">
        <v>45936.950115740699</v>
      </c>
      <c r="D83" s="12" t="s">
        <v>22</v>
      </c>
      <c r="E83" s="3"/>
      <c r="F83" s="12" t="s">
        <v>39</v>
      </c>
      <c r="G83" s="11">
        <v>45926</v>
      </c>
      <c r="H83" s="13" t="s">
        <v>520</v>
      </c>
      <c r="I83" s="12" t="s">
        <v>521</v>
      </c>
      <c r="J83" s="13" t="s">
        <v>522</v>
      </c>
      <c r="K83" s="4" t="s">
        <v>218</v>
      </c>
      <c r="L83" s="2"/>
      <c r="M83" s="27" t="s">
        <v>523</v>
      </c>
      <c r="O83" s="2" t="s">
        <v>517</v>
      </c>
      <c r="P83" s="2" t="s">
        <v>514</v>
      </c>
      <c r="Q83" t="s">
        <v>204</v>
      </c>
      <c r="R83" s="2" t="s">
        <v>524</v>
      </c>
      <c r="S83" s="1">
        <v>45926</v>
      </c>
      <c r="T83" s="1"/>
      <c r="U83" t="s">
        <v>277</v>
      </c>
      <c r="V83" t="s">
        <v>525</v>
      </c>
    </row>
    <row r="84" spans="1:22" hidden="1">
      <c r="A84" s="10">
        <v>86</v>
      </c>
      <c r="B84" s="30">
        <v>45937.322418981501</v>
      </c>
      <c r="C84" s="30">
        <v>45937.328379629602</v>
      </c>
      <c r="D84" s="12" t="s">
        <v>22</v>
      </c>
      <c r="E84" s="3"/>
      <c r="F84" s="12" t="s">
        <v>39</v>
      </c>
      <c r="G84" s="11">
        <v>45936</v>
      </c>
      <c r="H84" s="13" t="s">
        <v>526</v>
      </c>
      <c r="I84" s="12" t="s">
        <v>514</v>
      </c>
      <c r="J84" s="13" t="s">
        <v>515</v>
      </c>
      <c r="K84" s="4" t="s">
        <v>218</v>
      </c>
      <c r="L84" s="2"/>
      <c r="M84" s="3" t="s">
        <v>527</v>
      </c>
      <c r="O84" s="2" t="s">
        <v>447</v>
      </c>
      <c r="P84" s="2" t="s">
        <v>514</v>
      </c>
      <c r="Q84" t="s">
        <v>214</v>
      </c>
      <c r="R84" s="2"/>
      <c r="S84" s="1"/>
      <c r="T84" s="1"/>
    </row>
    <row r="85" spans="1:22" hidden="1">
      <c r="A85" s="10">
        <v>87</v>
      </c>
      <c r="B85" s="30">
        <v>45938.479756944398</v>
      </c>
      <c r="C85" s="30">
        <v>45938.481898148202</v>
      </c>
      <c r="D85" s="12" t="s">
        <v>22</v>
      </c>
      <c r="E85" s="3"/>
      <c r="F85" s="12" t="s">
        <v>39</v>
      </c>
      <c r="G85" s="11">
        <v>45926</v>
      </c>
      <c r="H85" s="13" t="s">
        <v>528</v>
      </c>
      <c r="I85" s="12" t="s">
        <v>529</v>
      </c>
      <c r="J85" s="13" t="s">
        <v>530</v>
      </c>
      <c r="K85" s="4" t="s">
        <v>235</v>
      </c>
      <c r="L85" s="2"/>
      <c r="M85" s="3" t="s">
        <v>531</v>
      </c>
      <c r="N85" t="s">
        <v>532</v>
      </c>
      <c r="O85" s="2" t="s">
        <v>343</v>
      </c>
      <c r="P85" s="2" t="s">
        <v>533</v>
      </c>
      <c r="Q85" t="s">
        <v>204</v>
      </c>
      <c r="R85" s="2" t="s">
        <v>534</v>
      </c>
      <c r="S85" s="1">
        <v>45927</v>
      </c>
      <c r="T85" s="1" t="s">
        <v>240</v>
      </c>
      <c r="U85" t="s">
        <v>423</v>
      </c>
      <c r="V85" t="s">
        <v>535</v>
      </c>
    </row>
    <row r="86" spans="1:22" hidden="1">
      <c r="A86" s="10">
        <v>88</v>
      </c>
      <c r="B86" s="30">
        <v>45938.481967592597</v>
      </c>
      <c r="C86" s="30">
        <v>45938.584895833301</v>
      </c>
      <c r="D86" s="12" t="s">
        <v>22</v>
      </c>
      <c r="E86" s="3"/>
      <c r="F86" s="12" t="s">
        <v>39</v>
      </c>
      <c r="G86" s="11">
        <v>45937</v>
      </c>
      <c r="H86" s="13" t="s">
        <v>536</v>
      </c>
      <c r="I86" s="12" t="s">
        <v>537</v>
      </c>
      <c r="J86" s="13" t="s">
        <v>387</v>
      </c>
      <c r="K86" s="4" t="s">
        <v>245</v>
      </c>
      <c r="L86" s="2"/>
      <c r="M86" s="3" t="s">
        <v>538</v>
      </c>
      <c r="N86" t="s">
        <v>539</v>
      </c>
      <c r="O86" s="2" t="s">
        <v>343</v>
      </c>
      <c r="P86" s="2" t="s">
        <v>540</v>
      </c>
      <c r="Q86" t="s">
        <v>204</v>
      </c>
      <c r="R86" s="2" t="s">
        <v>541</v>
      </c>
      <c r="S86" s="1"/>
      <c r="T86" s="1"/>
      <c r="U86" t="s">
        <v>230</v>
      </c>
      <c r="V86" t="s">
        <v>542</v>
      </c>
    </row>
    <row r="87" spans="1:22" hidden="1">
      <c r="A87" s="10">
        <v>89</v>
      </c>
      <c r="B87" s="30">
        <v>45941.509942129604</v>
      </c>
      <c r="C87" s="30">
        <v>45941.527592592603</v>
      </c>
      <c r="D87" s="12" t="s">
        <v>22</v>
      </c>
      <c r="E87" s="3"/>
      <c r="F87" s="12" t="s">
        <v>39</v>
      </c>
      <c r="G87" s="11">
        <v>45923</v>
      </c>
      <c r="H87" s="13" t="s">
        <v>543</v>
      </c>
      <c r="I87" s="12" t="s">
        <v>544</v>
      </c>
      <c r="J87" s="13" t="s">
        <v>545</v>
      </c>
      <c r="K87" s="4" t="s">
        <v>235</v>
      </c>
      <c r="L87" s="2"/>
      <c r="M87" s="3" t="s">
        <v>546</v>
      </c>
      <c r="N87" t="s">
        <v>547</v>
      </c>
      <c r="O87" s="2" t="s">
        <v>343</v>
      </c>
      <c r="P87" s="2" t="s">
        <v>548</v>
      </c>
      <c r="Q87" t="s">
        <v>214</v>
      </c>
      <c r="R87" s="2"/>
      <c r="S87" s="1"/>
      <c r="T87" s="1"/>
    </row>
    <row r="88" spans="1:22" hidden="1">
      <c r="A88" s="10">
        <v>90</v>
      </c>
      <c r="B88" s="30">
        <v>45941.527638888903</v>
      </c>
      <c r="C88" s="30">
        <v>45941.542129629597</v>
      </c>
      <c r="D88" s="12" t="s">
        <v>22</v>
      </c>
      <c r="E88" s="3"/>
      <c r="F88" s="12" t="s">
        <v>39</v>
      </c>
      <c r="G88" s="11">
        <v>45928</v>
      </c>
      <c r="H88" s="13" t="s">
        <v>549</v>
      </c>
      <c r="I88" s="12" t="s">
        <v>550</v>
      </c>
      <c r="J88" s="13" t="s">
        <v>551</v>
      </c>
      <c r="K88" s="4" t="s">
        <v>218</v>
      </c>
      <c r="L88" s="2"/>
      <c r="M88" s="3" t="s">
        <v>552</v>
      </c>
      <c r="N88" t="s">
        <v>553</v>
      </c>
      <c r="O88" s="2" t="s">
        <v>343</v>
      </c>
      <c r="P88" s="2" t="s">
        <v>554</v>
      </c>
      <c r="Q88" t="s">
        <v>204</v>
      </c>
      <c r="R88" s="2" t="s">
        <v>555</v>
      </c>
      <c r="S88" s="1">
        <v>45928</v>
      </c>
      <c r="T88" s="1" t="s">
        <v>276</v>
      </c>
      <c r="U88" t="s">
        <v>423</v>
      </c>
      <c r="V88" t="s">
        <v>556</v>
      </c>
    </row>
    <row r="89" spans="1:22" hidden="1">
      <c r="A89" s="10">
        <v>91</v>
      </c>
      <c r="B89" s="30">
        <v>45941.542384259301</v>
      </c>
      <c r="C89" s="30">
        <v>45941.544502314799</v>
      </c>
      <c r="D89" s="12" t="s">
        <v>22</v>
      </c>
      <c r="E89" s="3"/>
      <c r="F89" s="12" t="s">
        <v>39</v>
      </c>
      <c r="G89" s="11">
        <v>45870</v>
      </c>
      <c r="H89" s="13" t="s">
        <v>63</v>
      </c>
      <c r="I89" s="12" t="s">
        <v>557</v>
      </c>
      <c r="J89" s="13" t="s">
        <v>42</v>
      </c>
      <c r="K89" s="4" t="s">
        <v>235</v>
      </c>
      <c r="L89" s="2"/>
      <c r="M89" s="3" t="s">
        <v>558</v>
      </c>
      <c r="O89" s="2" t="s">
        <v>343</v>
      </c>
      <c r="P89" s="2" t="s">
        <v>63</v>
      </c>
      <c r="Q89" t="s">
        <v>214</v>
      </c>
      <c r="R89" s="2"/>
      <c r="S89" s="1"/>
      <c r="T89" s="1"/>
    </row>
    <row r="90" spans="1:22" hidden="1">
      <c r="A90" s="10">
        <v>92</v>
      </c>
      <c r="B90" s="30">
        <v>45941.545277777797</v>
      </c>
      <c r="C90" s="30">
        <v>45941.546597222201</v>
      </c>
      <c r="D90" s="12" t="s">
        <v>22</v>
      </c>
      <c r="E90" s="3"/>
      <c r="F90" s="12" t="s">
        <v>39</v>
      </c>
      <c r="G90" s="11">
        <v>45809</v>
      </c>
      <c r="H90" s="13" t="s">
        <v>63</v>
      </c>
      <c r="I90" s="12" t="s">
        <v>559</v>
      </c>
      <c r="J90" s="13" t="s">
        <v>42</v>
      </c>
      <c r="K90" s="4" t="s">
        <v>428</v>
      </c>
      <c r="L90" s="2"/>
      <c r="M90" s="3" t="s">
        <v>560</v>
      </c>
      <c r="N90" s="2" t="s">
        <v>42</v>
      </c>
      <c r="O90" s="2" t="s">
        <v>343</v>
      </c>
      <c r="P90" s="2" t="s">
        <v>42</v>
      </c>
      <c r="Q90" t="s">
        <v>214</v>
      </c>
      <c r="R90" s="2"/>
      <c r="S90" s="1"/>
      <c r="T90" s="1"/>
    </row>
    <row r="91" spans="1:22" hidden="1">
      <c r="A91" s="10">
        <v>93</v>
      </c>
      <c r="B91" s="30">
        <v>45943.471585648098</v>
      </c>
      <c r="C91" s="30">
        <v>45943.484664351898</v>
      </c>
      <c r="D91" s="12" t="s">
        <v>22</v>
      </c>
      <c r="E91" s="3"/>
      <c r="F91" s="12" t="s">
        <v>157</v>
      </c>
      <c r="G91" s="11">
        <v>45940</v>
      </c>
      <c r="H91" s="13" t="s">
        <v>561</v>
      </c>
      <c r="I91" s="12" t="s">
        <v>562</v>
      </c>
      <c r="J91" s="13" t="s">
        <v>563</v>
      </c>
      <c r="K91" s="4" t="s">
        <v>245</v>
      </c>
      <c r="L91" s="2"/>
      <c r="M91" s="3" t="s">
        <v>564</v>
      </c>
      <c r="N91" s="2" t="s">
        <v>565</v>
      </c>
      <c r="O91" s="2" t="s">
        <v>260</v>
      </c>
      <c r="P91" s="2" t="s">
        <v>566</v>
      </c>
      <c r="Q91" t="s">
        <v>214</v>
      </c>
      <c r="R91" s="2"/>
      <c r="S91" s="1"/>
      <c r="T91" s="1"/>
    </row>
    <row r="92" spans="1:22" hidden="1">
      <c r="A92" s="10">
        <v>94</v>
      </c>
      <c r="B92" s="30">
        <v>45944.558657407397</v>
      </c>
      <c r="C92" s="30">
        <v>45944.560902777797</v>
      </c>
      <c r="D92" s="12" t="s">
        <v>22</v>
      </c>
      <c r="E92" s="3"/>
      <c r="F92" s="12" t="s">
        <v>39</v>
      </c>
      <c r="G92" s="11">
        <v>45942</v>
      </c>
      <c r="H92" s="13" t="s">
        <v>567</v>
      </c>
      <c r="I92" s="12" t="s">
        <v>243</v>
      </c>
      <c r="J92" s="13" t="s">
        <v>324</v>
      </c>
      <c r="K92" s="4" t="s">
        <v>245</v>
      </c>
      <c r="L92" s="2"/>
      <c r="M92" s="3" t="s">
        <v>568</v>
      </c>
      <c r="N92" s="2" t="s">
        <v>569</v>
      </c>
      <c r="O92" s="2" t="s">
        <v>248</v>
      </c>
      <c r="P92" s="2" t="s">
        <v>570</v>
      </c>
      <c r="Q92" t="s">
        <v>204</v>
      </c>
      <c r="R92" s="2"/>
      <c r="S92" s="1"/>
      <c r="T92" s="1" t="s">
        <v>502</v>
      </c>
      <c r="U92" t="s">
        <v>389</v>
      </c>
    </row>
    <row r="93" spans="1:22" hidden="1">
      <c r="A93" s="10">
        <v>95</v>
      </c>
      <c r="B93" s="30">
        <v>45944.637303240699</v>
      </c>
      <c r="C93" s="30">
        <v>45944.644745370402</v>
      </c>
      <c r="D93" s="12" t="s">
        <v>22</v>
      </c>
      <c r="E93" s="3"/>
      <c r="F93" s="12" t="s">
        <v>39</v>
      </c>
      <c r="G93" s="11">
        <v>45940</v>
      </c>
      <c r="H93" s="13" t="s">
        <v>571</v>
      </c>
      <c r="I93" s="12" t="s">
        <v>572</v>
      </c>
      <c r="J93" s="13" t="s">
        <v>42</v>
      </c>
      <c r="K93" s="4" t="s">
        <v>235</v>
      </c>
      <c r="L93" s="2"/>
      <c r="M93" s="3" t="s">
        <v>573</v>
      </c>
      <c r="N93" s="2" t="s">
        <v>574</v>
      </c>
      <c r="O93" s="2" t="s">
        <v>343</v>
      </c>
      <c r="P93" s="2" t="s">
        <v>42</v>
      </c>
      <c r="Q93" t="s">
        <v>214</v>
      </c>
      <c r="R93" s="2"/>
      <c r="S93" s="1"/>
      <c r="T93" s="1"/>
    </row>
    <row r="94" spans="1:22" hidden="1">
      <c r="A94" s="10">
        <v>96</v>
      </c>
      <c r="B94" s="30">
        <v>45944.656851851803</v>
      </c>
      <c r="C94" s="30">
        <v>45944.657581018502</v>
      </c>
      <c r="D94" s="12" t="s">
        <v>22</v>
      </c>
      <c r="E94" s="3"/>
      <c r="F94" s="12" t="s">
        <v>39</v>
      </c>
      <c r="G94" s="11">
        <v>45870</v>
      </c>
      <c r="H94" s="13" t="s">
        <v>42</v>
      </c>
      <c r="I94" s="12" t="s">
        <v>575</v>
      </c>
      <c r="J94" s="13" t="s">
        <v>42</v>
      </c>
      <c r="K94" s="4" t="s">
        <v>218</v>
      </c>
      <c r="L94" s="2" t="s">
        <v>576</v>
      </c>
      <c r="M94" s="3" t="s">
        <v>577</v>
      </c>
      <c r="N94" s="2"/>
      <c r="O94" s="2" t="s">
        <v>343</v>
      </c>
      <c r="P94" s="2" t="s">
        <v>42</v>
      </c>
      <c r="Q94" t="s">
        <v>214</v>
      </c>
      <c r="R94" s="2"/>
      <c r="S94" s="1"/>
      <c r="T94" s="1"/>
    </row>
    <row r="95" spans="1:22" hidden="1">
      <c r="A95" s="10">
        <v>97</v>
      </c>
      <c r="B95" s="30">
        <v>45944.69</v>
      </c>
      <c r="C95" s="30">
        <v>45944.769849536999</v>
      </c>
      <c r="D95" s="12" t="s">
        <v>22</v>
      </c>
      <c r="E95" s="3"/>
      <c r="F95" s="12" t="s">
        <v>150</v>
      </c>
      <c r="G95" s="11">
        <v>45914</v>
      </c>
      <c r="H95" s="13" t="s">
        <v>578</v>
      </c>
      <c r="I95" s="12" t="s">
        <v>579</v>
      </c>
      <c r="J95" s="13" t="s">
        <v>153</v>
      </c>
      <c r="K95" s="4" t="s">
        <v>235</v>
      </c>
      <c r="L95" s="2" t="s">
        <v>580</v>
      </c>
      <c r="M95" s="3" t="s">
        <v>581</v>
      </c>
      <c r="N95" s="2" t="s">
        <v>582</v>
      </c>
      <c r="O95" s="2" t="s">
        <v>155</v>
      </c>
      <c r="P95" s="2" t="s">
        <v>583</v>
      </c>
      <c r="Q95" t="s">
        <v>214</v>
      </c>
      <c r="R95" s="2"/>
      <c r="S95" s="1"/>
      <c r="T95" s="1"/>
    </row>
    <row r="96" spans="1:22" hidden="1">
      <c r="A96" s="10">
        <v>98</v>
      </c>
      <c r="B96" s="30">
        <v>45944.769895833299</v>
      </c>
      <c r="C96" s="30">
        <v>45944.7831828704</v>
      </c>
      <c r="D96" s="12" t="s">
        <v>22</v>
      </c>
      <c r="E96" s="3"/>
      <c r="F96" s="12" t="s">
        <v>150</v>
      </c>
      <c r="G96" s="11">
        <v>45931</v>
      </c>
      <c r="H96" s="13" t="s">
        <v>584</v>
      </c>
      <c r="I96" s="12" t="s">
        <v>585</v>
      </c>
      <c r="J96" s="13" t="s">
        <v>586</v>
      </c>
      <c r="K96" s="4" t="s">
        <v>235</v>
      </c>
      <c r="L96" s="2" t="s">
        <v>587</v>
      </c>
      <c r="M96" s="3" t="s">
        <v>588</v>
      </c>
      <c r="N96" s="2" t="s">
        <v>589</v>
      </c>
      <c r="O96" s="2" t="s">
        <v>155</v>
      </c>
      <c r="P96" s="2" t="s">
        <v>590</v>
      </c>
      <c r="Q96" t="s">
        <v>214</v>
      </c>
      <c r="R96" s="2"/>
      <c r="S96" s="1"/>
      <c r="T96" s="1"/>
    </row>
    <row r="97" spans="1:22" hidden="1">
      <c r="A97" s="10">
        <v>99</v>
      </c>
      <c r="B97" s="30">
        <v>45945.539618055598</v>
      </c>
      <c r="C97" s="30">
        <v>45945.542199074102</v>
      </c>
      <c r="D97" s="12" t="s">
        <v>22</v>
      </c>
      <c r="E97" s="3"/>
      <c r="F97" s="12" t="s">
        <v>157</v>
      </c>
      <c r="G97" s="11">
        <v>45938</v>
      </c>
      <c r="H97" s="13" t="s">
        <v>591</v>
      </c>
      <c r="I97" s="12" t="s">
        <v>592</v>
      </c>
      <c r="J97" s="13" t="s">
        <v>593</v>
      </c>
      <c r="K97" s="4" t="s">
        <v>282</v>
      </c>
      <c r="L97" s="2" t="s">
        <v>587</v>
      </c>
      <c r="M97" s="3" t="s">
        <v>594</v>
      </c>
      <c r="N97" s="2" t="s">
        <v>595</v>
      </c>
      <c r="O97" s="2" t="s">
        <v>260</v>
      </c>
      <c r="P97" s="2" t="s">
        <v>596</v>
      </c>
      <c r="Q97" t="s">
        <v>214</v>
      </c>
      <c r="R97" s="2"/>
      <c r="S97" s="1"/>
      <c r="T97" s="1"/>
    </row>
    <row r="98" spans="1:22" hidden="1">
      <c r="A98" s="10">
        <v>100</v>
      </c>
      <c r="B98" s="30">
        <v>45946.619050925903</v>
      </c>
      <c r="C98" s="30">
        <v>45946.624247685198</v>
      </c>
      <c r="D98" s="12" t="s">
        <v>22</v>
      </c>
      <c r="E98" s="3"/>
      <c r="F98" s="12" t="s">
        <v>39</v>
      </c>
      <c r="G98" s="11">
        <v>45931</v>
      </c>
      <c r="H98" s="13" t="s">
        <v>42</v>
      </c>
      <c r="I98" s="12" t="s">
        <v>597</v>
      </c>
      <c r="J98" s="13" t="s">
        <v>42</v>
      </c>
      <c r="K98" s="4" t="s">
        <v>225</v>
      </c>
      <c r="L98" s="2" t="s">
        <v>587</v>
      </c>
      <c r="M98" s="3" t="s">
        <v>598</v>
      </c>
      <c r="N98" s="2"/>
      <c r="O98" s="2" t="s">
        <v>343</v>
      </c>
      <c r="P98" s="2" t="s">
        <v>42</v>
      </c>
      <c r="Q98" t="s">
        <v>214</v>
      </c>
      <c r="R98" s="2"/>
      <c r="S98" s="1"/>
      <c r="T98" s="1"/>
    </row>
    <row r="99" spans="1:22" hidden="1">
      <c r="A99" s="10">
        <v>101</v>
      </c>
      <c r="B99" s="30">
        <v>45946.629097222198</v>
      </c>
      <c r="C99" s="30">
        <v>45946.631979166697</v>
      </c>
      <c r="D99" s="12" t="s">
        <v>22</v>
      </c>
      <c r="E99" s="3"/>
      <c r="F99" s="12" t="s">
        <v>39</v>
      </c>
      <c r="G99" s="11">
        <v>45941</v>
      </c>
      <c r="H99" s="13" t="s">
        <v>42</v>
      </c>
      <c r="I99" s="12" t="s">
        <v>599</v>
      </c>
      <c r="J99" s="13" t="s">
        <v>42</v>
      </c>
      <c r="K99" s="4" t="s">
        <v>350</v>
      </c>
      <c r="L99" s="2" t="s">
        <v>576</v>
      </c>
      <c r="M99" s="3" t="s">
        <v>600</v>
      </c>
      <c r="N99" s="2"/>
      <c r="O99" s="2" t="s">
        <v>343</v>
      </c>
      <c r="P99" s="2" t="s">
        <v>42</v>
      </c>
      <c r="Q99" t="s">
        <v>214</v>
      </c>
      <c r="R99" s="2"/>
      <c r="S99" s="1"/>
      <c r="T99" s="1"/>
    </row>
    <row r="100" spans="1:22" hidden="1">
      <c r="A100" s="10">
        <v>102</v>
      </c>
      <c r="B100" s="30">
        <v>45946.638263888897</v>
      </c>
      <c r="C100" s="30">
        <v>45946.640416666698</v>
      </c>
      <c r="D100" s="12" t="s">
        <v>22</v>
      </c>
      <c r="E100" s="3"/>
      <c r="F100" s="12" t="s">
        <v>39</v>
      </c>
      <c r="G100" s="11">
        <v>45946</v>
      </c>
      <c r="H100" s="13" t="s">
        <v>601</v>
      </c>
      <c r="I100" s="12" t="s">
        <v>602</v>
      </c>
      <c r="J100" s="13" t="s">
        <v>602</v>
      </c>
      <c r="K100" s="4" t="s">
        <v>225</v>
      </c>
      <c r="L100" s="2" t="s">
        <v>603</v>
      </c>
      <c r="M100" s="3" t="s">
        <v>602</v>
      </c>
      <c r="N100" s="2" t="s">
        <v>602</v>
      </c>
      <c r="O100" s="2" t="s">
        <v>602</v>
      </c>
      <c r="P100" s="2" t="s">
        <v>602</v>
      </c>
      <c r="Q100" t="s">
        <v>214</v>
      </c>
      <c r="R100" s="2"/>
      <c r="S100" s="1"/>
      <c r="T100" s="1"/>
    </row>
    <row r="101" spans="1:22" hidden="1">
      <c r="A101" s="10">
        <v>103</v>
      </c>
      <c r="B101" s="30">
        <v>45946.668402777803</v>
      </c>
      <c r="C101" s="30">
        <v>45946.672604166699</v>
      </c>
      <c r="D101" s="12" t="s">
        <v>22</v>
      </c>
      <c r="E101" s="3"/>
      <c r="F101" s="12" t="s">
        <v>39</v>
      </c>
      <c r="G101" s="11">
        <v>45928</v>
      </c>
      <c r="H101" s="13" t="s">
        <v>604</v>
      </c>
      <c r="I101" s="12" t="s">
        <v>605</v>
      </c>
      <c r="J101" s="13" t="s">
        <v>606</v>
      </c>
      <c r="K101" s="4" t="s">
        <v>235</v>
      </c>
      <c r="L101" s="2" t="s">
        <v>607</v>
      </c>
      <c r="M101" s="3" t="s">
        <v>608</v>
      </c>
      <c r="N101" s="2" t="s">
        <v>609</v>
      </c>
      <c r="O101" s="2" t="s">
        <v>343</v>
      </c>
      <c r="P101" s="2" t="s">
        <v>610</v>
      </c>
      <c r="Q101" t="s">
        <v>204</v>
      </c>
      <c r="R101" s="2" t="s">
        <v>611</v>
      </c>
      <c r="S101" s="1">
        <v>45928</v>
      </c>
      <c r="T101" s="1" t="s">
        <v>240</v>
      </c>
      <c r="U101" t="s">
        <v>277</v>
      </c>
      <c r="V101" t="s">
        <v>612</v>
      </c>
    </row>
    <row r="102" spans="1:22" hidden="1">
      <c r="A102" s="10">
        <v>104</v>
      </c>
      <c r="B102" s="30">
        <v>45950.6241898148</v>
      </c>
      <c r="C102" s="30">
        <v>45950.627546296302</v>
      </c>
      <c r="D102" s="12" t="s">
        <v>22</v>
      </c>
      <c r="E102" s="3"/>
      <c r="F102" s="12" t="s">
        <v>39</v>
      </c>
      <c r="G102" s="11">
        <v>45943</v>
      </c>
      <c r="H102" s="13" t="s">
        <v>613</v>
      </c>
      <c r="I102" s="12" t="s">
        <v>614</v>
      </c>
      <c r="J102" s="13" t="s">
        <v>42</v>
      </c>
      <c r="K102" s="4" t="s">
        <v>245</v>
      </c>
      <c r="L102" s="2" t="s">
        <v>580</v>
      </c>
      <c r="M102" s="3" t="s">
        <v>615</v>
      </c>
      <c r="N102" s="2" t="s">
        <v>616</v>
      </c>
      <c r="O102" s="2" t="s">
        <v>243</v>
      </c>
      <c r="P102" s="2" t="s">
        <v>243</v>
      </c>
      <c r="Q102" t="s">
        <v>204</v>
      </c>
      <c r="R102" s="2" t="s">
        <v>617</v>
      </c>
      <c r="S102" s="1">
        <v>45944</v>
      </c>
      <c r="T102" s="1" t="s">
        <v>240</v>
      </c>
      <c r="V102" t="s">
        <v>618</v>
      </c>
    </row>
    <row r="103" spans="1:22" hidden="1">
      <c r="A103" s="10">
        <v>105</v>
      </c>
      <c r="B103" s="30">
        <v>45950.627881944398</v>
      </c>
      <c r="C103" s="30">
        <v>45950.630613425899</v>
      </c>
      <c r="D103" s="12" t="s">
        <v>22</v>
      </c>
      <c r="E103" s="3"/>
      <c r="F103" s="12" t="s">
        <v>39</v>
      </c>
      <c r="G103" s="11">
        <v>45943</v>
      </c>
      <c r="H103" s="13" t="s">
        <v>619</v>
      </c>
      <c r="I103" s="12" t="s">
        <v>620</v>
      </c>
      <c r="J103" s="13" t="s">
        <v>42</v>
      </c>
      <c r="K103" s="4" t="s">
        <v>245</v>
      </c>
      <c r="L103" s="2" t="s">
        <v>580</v>
      </c>
      <c r="M103" s="3" t="s">
        <v>621</v>
      </c>
      <c r="N103" s="2" t="s">
        <v>622</v>
      </c>
      <c r="O103" s="2" t="s">
        <v>620</v>
      </c>
      <c r="P103" s="2" t="s">
        <v>620</v>
      </c>
      <c r="Q103" t="s">
        <v>204</v>
      </c>
      <c r="R103" s="2"/>
      <c r="S103" s="1"/>
      <c r="T103" s="1" t="s">
        <v>240</v>
      </c>
      <c r="V103" t="s">
        <v>623</v>
      </c>
    </row>
    <row r="104" spans="1:22" hidden="1">
      <c r="A104" s="10">
        <v>106</v>
      </c>
      <c r="B104" s="30">
        <v>45951.388356481497</v>
      </c>
      <c r="C104" s="30">
        <v>45951.390659722201</v>
      </c>
      <c r="D104" s="12" t="s">
        <v>22</v>
      </c>
      <c r="E104" s="3"/>
      <c r="F104" s="12" t="s">
        <v>39</v>
      </c>
      <c r="G104" s="11">
        <v>45950</v>
      </c>
      <c r="H104" s="13" t="s">
        <v>624</v>
      </c>
      <c r="I104" s="12" t="s">
        <v>625</v>
      </c>
      <c r="J104" s="13" t="s">
        <v>626</v>
      </c>
      <c r="K104" s="4" t="s">
        <v>235</v>
      </c>
      <c r="L104" s="2" t="s">
        <v>603</v>
      </c>
      <c r="M104" s="3" t="s">
        <v>627</v>
      </c>
      <c r="N104" s="2" t="s">
        <v>42</v>
      </c>
      <c r="O104" s="2" t="s">
        <v>628</v>
      </c>
      <c r="P104" s="2" t="s">
        <v>629</v>
      </c>
      <c r="Q104" t="s">
        <v>214</v>
      </c>
      <c r="R104" s="2"/>
      <c r="S104" s="1"/>
      <c r="T104" s="1"/>
    </row>
    <row r="105" spans="1:22" hidden="1">
      <c r="A105" s="10">
        <v>107</v>
      </c>
      <c r="B105" s="30">
        <v>45951.5323726852</v>
      </c>
      <c r="C105" s="30">
        <v>45951.5370833333</v>
      </c>
      <c r="D105" s="12" t="s">
        <v>22</v>
      </c>
      <c r="E105" s="3"/>
      <c r="F105" s="12" t="s">
        <v>23</v>
      </c>
      <c r="G105" s="11">
        <v>45887</v>
      </c>
      <c r="H105" s="13" t="s">
        <v>630</v>
      </c>
      <c r="I105" s="12" t="s">
        <v>631</v>
      </c>
      <c r="J105" s="13" t="s">
        <v>632</v>
      </c>
      <c r="K105" s="4" t="s">
        <v>245</v>
      </c>
      <c r="L105" s="2" t="s">
        <v>580</v>
      </c>
      <c r="M105" s="3" t="s">
        <v>633</v>
      </c>
      <c r="N105" s="2" t="s">
        <v>634</v>
      </c>
      <c r="O105" s="2" t="s">
        <v>307</v>
      </c>
      <c r="P105" s="2" t="s">
        <v>635</v>
      </c>
      <c r="Q105" t="s">
        <v>214</v>
      </c>
      <c r="R105" s="2"/>
      <c r="S105" s="1"/>
      <c r="T105" s="1"/>
    </row>
    <row r="106" spans="1:22" hidden="1">
      <c r="A106" s="10">
        <v>108</v>
      </c>
      <c r="B106" s="30">
        <v>45951.537152777797</v>
      </c>
      <c r="C106" s="30">
        <v>45951.543240740699</v>
      </c>
      <c r="D106" s="12" t="s">
        <v>22</v>
      </c>
      <c r="E106" s="3"/>
      <c r="F106" s="12" t="s">
        <v>23</v>
      </c>
      <c r="G106" s="11">
        <v>45796</v>
      </c>
      <c r="H106" s="13" t="s">
        <v>42</v>
      </c>
      <c r="I106" s="12" t="s">
        <v>636</v>
      </c>
      <c r="J106" s="13" t="s">
        <v>637</v>
      </c>
      <c r="K106" s="4" t="s">
        <v>218</v>
      </c>
      <c r="L106" s="2" t="s">
        <v>576</v>
      </c>
      <c r="M106" s="3" t="s">
        <v>638</v>
      </c>
      <c r="N106" s="2" t="s">
        <v>639</v>
      </c>
      <c r="O106" s="2" t="s">
        <v>307</v>
      </c>
      <c r="P106" s="2" t="s">
        <v>640</v>
      </c>
      <c r="Q106" t="s">
        <v>214</v>
      </c>
      <c r="R106" s="2"/>
      <c r="S106" s="1"/>
      <c r="T106" s="1"/>
    </row>
    <row r="107" spans="1:22" hidden="1">
      <c r="A107" s="10">
        <v>109</v>
      </c>
      <c r="B107" s="30">
        <v>45951.543275463002</v>
      </c>
      <c r="C107" s="30">
        <v>45951.549803240698</v>
      </c>
      <c r="D107" s="12" t="s">
        <v>22</v>
      </c>
      <c r="E107" s="3"/>
      <c r="F107" s="12" t="s">
        <v>23</v>
      </c>
      <c r="G107" s="11">
        <v>45907</v>
      </c>
      <c r="H107" s="13" t="s">
        <v>641</v>
      </c>
      <c r="I107" s="12" t="s">
        <v>642</v>
      </c>
      <c r="J107" s="13" t="s">
        <v>643</v>
      </c>
      <c r="K107" s="4" t="s">
        <v>350</v>
      </c>
      <c r="L107" s="2" t="s">
        <v>644</v>
      </c>
      <c r="M107" s="3" t="s">
        <v>645</v>
      </c>
      <c r="N107" s="2" t="s">
        <v>646</v>
      </c>
      <c r="O107" s="2" t="s">
        <v>307</v>
      </c>
      <c r="P107" s="2" t="s">
        <v>647</v>
      </c>
      <c r="Q107" t="s">
        <v>214</v>
      </c>
      <c r="R107" s="2"/>
      <c r="S107" s="1"/>
      <c r="T107" s="1"/>
    </row>
    <row r="108" spans="1:22" hidden="1">
      <c r="A108" s="10">
        <v>110</v>
      </c>
      <c r="B108" s="30">
        <v>45951.549918981502</v>
      </c>
      <c r="C108" s="30">
        <v>45951.568599537</v>
      </c>
      <c r="D108" s="12" t="s">
        <v>22</v>
      </c>
      <c r="E108" s="3"/>
      <c r="F108" s="12" t="s">
        <v>23</v>
      </c>
      <c r="G108" s="11">
        <v>45911</v>
      </c>
      <c r="H108" s="13" t="s">
        <v>648</v>
      </c>
      <c r="I108" s="12" t="s">
        <v>649</v>
      </c>
      <c r="J108" s="13" t="s">
        <v>650</v>
      </c>
      <c r="K108" s="4" t="s">
        <v>235</v>
      </c>
      <c r="L108" s="2" t="s">
        <v>607</v>
      </c>
      <c r="M108" s="3" t="s">
        <v>651</v>
      </c>
      <c r="N108" s="2" t="s">
        <v>652</v>
      </c>
      <c r="O108" s="2" t="s">
        <v>307</v>
      </c>
      <c r="P108" s="2" t="s">
        <v>653</v>
      </c>
      <c r="Q108" t="s">
        <v>214</v>
      </c>
      <c r="R108" s="2"/>
      <c r="S108" s="1"/>
      <c r="T108" s="1"/>
    </row>
    <row r="109" spans="1:22" hidden="1">
      <c r="A109" s="10">
        <v>111</v>
      </c>
      <c r="B109" s="30">
        <v>45952.615555555603</v>
      </c>
      <c r="C109" s="30">
        <v>45952.617881944403</v>
      </c>
      <c r="D109" s="12" t="s">
        <v>22</v>
      </c>
      <c r="E109" s="3"/>
      <c r="F109" s="12" t="s">
        <v>157</v>
      </c>
      <c r="G109" s="11">
        <v>45951</v>
      </c>
      <c r="H109" s="13" t="s">
        <v>654</v>
      </c>
      <c r="I109" s="12" t="s">
        <v>655</v>
      </c>
      <c r="J109" s="13" t="s">
        <v>656</v>
      </c>
      <c r="K109" s="4" t="s">
        <v>657</v>
      </c>
      <c r="L109" s="2" t="s">
        <v>580</v>
      </c>
      <c r="M109" s="3" t="s">
        <v>658</v>
      </c>
      <c r="N109" s="2" t="s">
        <v>659</v>
      </c>
      <c r="O109" s="2" t="s">
        <v>260</v>
      </c>
      <c r="P109" s="2" t="s">
        <v>660</v>
      </c>
      <c r="Q109" t="s">
        <v>214</v>
      </c>
      <c r="R109" s="2"/>
      <c r="S109" s="1"/>
      <c r="T109" s="1"/>
    </row>
    <row r="110" spans="1:22" hidden="1">
      <c r="A110" s="10">
        <v>112</v>
      </c>
      <c r="B110" s="30">
        <v>45952.745127314804</v>
      </c>
      <c r="C110" s="30">
        <v>45952.7490972222</v>
      </c>
      <c r="D110" s="12" t="s">
        <v>22</v>
      </c>
      <c r="E110" s="3"/>
      <c r="F110" s="12" t="s">
        <v>39</v>
      </c>
      <c r="G110" s="11">
        <v>45952</v>
      </c>
      <c r="H110" s="13" t="s">
        <v>42</v>
      </c>
      <c r="I110" s="12" t="s">
        <v>661</v>
      </c>
      <c r="J110" s="13" t="s">
        <v>42</v>
      </c>
      <c r="K110" s="4" t="s">
        <v>428</v>
      </c>
      <c r="L110" s="2" t="s">
        <v>662</v>
      </c>
      <c r="M110" s="3" t="s">
        <v>663</v>
      </c>
      <c r="N110" s="2"/>
      <c r="O110" s="2" t="s">
        <v>343</v>
      </c>
      <c r="P110" s="2" t="s">
        <v>42</v>
      </c>
      <c r="Q110" t="s">
        <v>214</v>
      </c>
      <c r="R110" s="2"/>
      <c r="S110" s="1"/>
      <c r="T110" s="1"/>
    </row>
    <row r="111" spans="1:22" hidden="1">
      <c r="A111" s="10">
        <v>113</v>
      </c>
      <c r="B111" s="30">
        <v>45954.362847222197</v>
      </c>
      <c r="C111" s="30">
        <v>45954.371643518498</v>
      </c>
      <c r="D111" s="12" t="s">
        <v>22</v>
      </c>
      <c r="E111" s="3"/>
      <c r="F111" s="12" t="s">
        <v>39</v>
      </c>
      <c r="G111" s="11">
        <v>45952</v>
      </c>
      <c r="H111" s="13" t="s">
        <v>664</v>
      </c>
      <c r="I111" s="12" t="s">
        <v>665</v>
      </c>
      <c r="J111" s="13" t="s">
        <v>666</v>
      </c>
      <c r="K111" s="4" t="s">
        <v>271</v>
      </c>
      <c r="L111" s="2" t="s">
        <v>662</v>
      </c>
      <c r="M111" s="3" t="s">
        <v>667</v>
      </c>
      <c r="N111" s="2"/>
      <c r="O111" s="2" t="s">
        <v>668</v>
      </c>
      <c r="P111" s="2" t="s">
        <v>669</v>
      </c>
      <c r="Q111" t="s">
        <v>204</v>
      </c>
      <c r="R111" s="2" t="s">
        <v>670</v>
      </c>
      <c r="S111" s="1">
        <v>45952</v>
      </c>
      <c r="T111" s="1" t="s">
        <v>240</v>
      </c>
      <c r="U111" t="s">
        <v>423</v>
      </c>
      <c r="V111" t="s">
        <v>671</v>
      </c>
    </row>
    <row r="112" spans="1:22" hidden="1">
      <c r="A112" s="10">
        <v>114</v>
      </c>
      <c r="B112" s="30">
        <v>45959.444155092599</v>
      </c>
      <c r="C112" s="30">
        <v>45959.451562499999</v>
      </c>
      <c r="D112" s="12" t="s">
        <v>22</v>
      </c>
      <c r="E112" s="3"/>
      <c r="F112" s="12" t="s">
        <v>39</v>
      </c>
      <c r="G112" s="11">
        <v>45957</v>
      </c>
      <c r="H112" s="13" t="s">
        <v>672</v>
      </c>
      <c r="I112" s="12" t="s">
        <v>673</v>
      </c>
      <c r="J112" s="13" t="s">
        <v>674</v>
      </c>
      <c r="K112" s="4" t="s">
        <v>235</v>
      </c>
      <c r="L112" s="2" t="s">
        <v>607</v>
      </c>
      <c r="M112" s="3" t="s">
        <v>675</v>
      </c>
      <c r="N112" s="2" t="s">
        <v>676</v>
      </c>
      <c r="O112" s="2" t="s">
        <v>188</v>
      </c>
      <c r="P112" s="2" t="s">
        <v>677</v>
      </c>
      <c r="Q112" t="s">
        <v>214</v>
      </c>
      <c r="R112" s="2"/>
      <c r="S112" s="1"/>
      <c r="T112" s="1"/>
    </row>
    <row r="113" spans="1:22" hidden="1">
      <c r="A113" s="10">
        <v>115</v>
      </c>
      <c r="B113" s="30">
        <v>45959.452118055597</v>
      </c>
      <c r="C113" s="30">
        <v>45959.455844907403</v>
      </c>
      <c r="D113" s="12" t="s">
        <v>22</v>
      </c>
      <c r="E113" s="3"/>
      <c r="F113" s="12" t="s">
        <v>39</v>
      </c>
      <c r="G113" s="11">
        <v>45957</v>
      </c>
      <c r="H113" s="13" t="s">
        <v>678</v>
      </c>
      <c r="I113" s="12" t="s">
        <v>679</v>
      </c>
      <c r="J113" s="13" t="s">
        <v>680</v>
      </c>
      <c r="K113" s="4" t="s">
        <v>235</v>
      </c>
      <c r="L113" s="2" t="s">
        <v>587</v>
      </c>
      <c r="M113" s="3" t="s">
        <v>681</v>
      </c>
      <c r="N113" s="2" t="s">
        <v>682</v>
      </c>
      <c r="O113" s="2" t="s">
        <v>188</v>
      </c>
      <c r="P113" s="2" t="s">
        <v>677</v>
      </c>
      <c r="Q113" t="s">
        <v>214</v>
      </c>
      <c r="R113" s="2"/>
      <c r="S113" s="1"/>
      <c r="T113" s="1"/>
    </row>
    <row r="114" spans="1:22" hidden="1">
      <c r="A114" s="10">
        <v>116</v>
      </c>
      <c r="B114" s="30">
        <v>45963.531689814801</v>
      </c>
      <c r="C114" s="30">
        <v>45963.538113425901</v>
      </c>
      <c r="D114" s="12" t="s">
        <v>22</v>
      </c>
      <c r="E114" s="3"/>
      <c r="F114" s="12" t="s">
        <v>39</v>
      </c>
      <c r="G114" s="11">
        <v>45963</v>
      </c>
      <c r="H114" s="13" t="s">
        <v>683</v>
      </c>
      <c r="I114" s="12" t="s">
        <v>684</v>
      </c>
      <c r="J114" s="13" t="s">
        <v>685</v>
      </c>
      <c r="K114" s="4" t="s">
        <v>225</v>
      </c>
      <c r="L114" s="2" t="s">
        <v>587</v>
      </c>
      <c r="M114" s="3" t="s">
        <v>686</v>
      </c>
      <c r="N114" s="2" t="s">
        <v>687</v>
      </c>
      <c r="O114" s="2" t="s">
        <v>238</v>
      </c>
      <c r="P114" s="2" t="s">
        <v>688</v>
      </c>
      <c r="Q114" t="s">
        <v>214</v>
      </c>
      <c r="R114" s="2"/>
      <c r="S114" s="1"/>
      <c r="T114" s="1"/>
    </row>
    <row r="115" spans="1:22" hidden="1">
      <c r="A115" s="10">
        <v>117</v>
      </c>
      <c r="B115" s="30">
        <v>45968.298229166699</v>
      </c>
      <c r="C115" s="30">
        <v>45968.300451388903</v>
      </c>
      <c r="D115" s="12" t="s">
        <v>22</v>
      </c>
      <c r="E115" s="3"/>
      <c r="F115" s="12" t="s">
        <v>39</v>
      </c>
      <c r="G115" s="11">
        <v>45961</v>
      </c>
      <c r="H115" s="13" t="s">
        <v>689</v>
      </c>
      <c r="I115" s="12" t="s">
        <v>690</v>
      </c>
      <c r="J115" s="13" t="s">
        <v>691</v>
      </c>
      <c r="K115" s="4" t="s">
        <v>245</v>
      </c>
      <c r="L115" s="2" t="s">
        <v>580</v>
      </c>
      <c r="M115" s="3" t="s">
        <v>692</v>
      </c>
      <c r="N115" s="2" t="s">
        <v>42</v>
      </c>
      <c r="O115" s="2" t="s">
        <v>693</v>
      </c>
      <c r="P115" s="2" t="s">
        <v>693</v>
      </c>
      <c r="Q115" t="s">
        <v>214</v>
      </c>
      <c r="R115" s="2"/>
      <c r="S115" s="1"/>
      <c r="T115" s="1"/>
    </row>
    <row r="116" spans="1:22" hidden="1">
      <c r="A116" s="10">
        <v>118</v>
      </c>
      <c r="B116" s="30">
        <v>45968.8136689815</v>
      </c>
      <c r="C116" s="30">
        <v>45968.825509259303</v>
      </c>
      <c r="D116" s="12" t="s">
        <v>22</v>
      </c>
      <c r="E116" s="3"/>
      <c r="F116" s="12" t="s">
        <v>31</v>
      </c>
      <c r="G116" s="11">
        <v>45968</v>
      </c>
      <c r="H116" s="13" t="s">
        <v>694</v>
      </c>
      <c r="I116" s="12" t="s">
        <v>695</v>
      </c>
      <c r="J116" s="13" t="s">
        <v>696</v>
      </c>
      <c r="K116" s="4" t="s">
        <v>350</v>
      </c>
      <c r="L116" s="2" t="s">
        <v>576</v>
      </c>
      <c r="M116" s="3" t="s">
        <v>697</v>
      </c>
      <c r="N116" s="2"/>
      <c r="O116" s="2" t="s">
        <v>698</v>
      </c>
      <c r="P116" s="2" t="s">
        <v>699</v>
      </c>
      <c r="Q116" t="s">
        <v>214</v>
      </c>
      <c r="R116" s="2"/>
      <c r="S116" s="1"/>
      <c r="T116" s="1"/>
    </row>
    <row r="117" spans="1:22" hidden="1">
      <c r="A117" s="10">
        <v>119</v>
      </c>
      <c r="B117" s="30">
        <v>45969.509988425903</v>
      </c>
      <c r="C117" s="30">
        <v>45969.526018518503</v>
      </c>
      <c r="D117" s="12" t="s">
        <v>22</v>
      </c>
      <c r="E117" s="3"/>
      <c r="F117" s="12" t="s">
        <v>31</v>
      </c>
      <c r="G117" s="11">
        <v>45968</v>
      </c>
      <c r="H117" s="13" t="s">
        <v>700</v>
      </c>
      <c r="I117" s="12" t="s">
        <v>701</v>
      </c>
      <c r="J117" s="13" t="s">
        <v>702</v>
      </c>
      <c r="K117" s="4" t="s">
        <v>350</v>
      </c>
      <c r="L117" s="2" t="s">
        <v>603</v>
      </c>
      <c r="M117" s="3" t="s">
        <v>703</v>
      </c>
      <c r="N117" s="2" t="s">
        <v>704</v>
      </c>
      <c r="O117" s="2" t="s">
        <v>705</v>
      </c>
      <c r="P117" s="2" t="s">
        <v>706</v>
      </c>
      <c r="Q117" t="s">
        <v>214</v>
      </c>
      <c r="R117" s="2"/>
      <c r="S117" s="1"/>
      <c r="T117" s="1"/>
    </row>
    <row r="118" spans="1:22" hidden="1">
      <c r="A118" s="10">
        <v>120</v>
      </c>
      <c r="B118" s="30">
        <v>45970.946296296301</v>
      </c>
      <c r="C118" s="30">
        <v>45970.947789351798</v>
      </c>
      <c r="D118" s="12" t="s">
        <v>22</v>
      </c>
      <c r="E118" s="3"/>
      <c r="F118" s="12" t="s">
        <v>39</v>
      </c>
      <c r="G118" s="11">
        <v>45970</v>
      </c>
      <c r="H118" s="13" t="s">
        <v>707</v>
      </c>
      <c r="I118" s="12" t="s">
        <v>708</v>
      </c>
      <c r="J118" s="13" t="s">
        <v>709</v>
      </c>
      <c r="K118" s="4" t="s">
        <v>428</v>
      </c>
      <c r="L118" s="2" t="s">
        <v>710</v>
      </c>
      <c r="M118" s="3" t="s">
        <v>711</v>
      </c>
      <c r="N118" s="2" t="s">
        <v>42</v>
      </c>
      <c r="O118" s="2" t="s">
        <v>54</v>
      </c>
      <c r="P118" s="2" t="s">
        <v>54</v>
      </c>
      <c r="Q118" t="s">
        <v>214</v>
      </c>
      <c r="R118" s="2"/>
      <c r="S118" s="1"/>
      <c r="T118" s="1"/>
    </row>
    <row r="119" spans="1:22" hidden="1">
      <c r="A119" s="10">
        <v>121</v>
      </c>
      <c r="B119" s="30">
        <v>45973.630358796298</v>
      </c>
      <c r="C119" s="30">
        <v>45973.641423611101</v>
      </c>
      <c r="D119" s="12" t="s">
        <v>22</v>
      </c>
      <c r="E119" s="3"/>
      <c r="F119" s="12" t="s">
        <v>39</v>
      </c>
      <c r="G119" s="11">
        <v>45972</v>
      </c>
      <c r="H119" s="13" t="s">
        <v>712</v>
      </c>
      <c r="I119" s="12" t="s">
        <v>713</v>
      </c>
      <c r="J119" s="13" t="s">
        <v>714</v>
      </c>
      <c r="K119" s="4" t="s">
        <v>235</v>
      </c>
      <c r="L119" s="2" t="s">
        <v>715</v>
      </c>
      <c r="M119" s="3" t="s">
        <v>716</v>
      </c>
      <c r="N119" s="2" t="s">
        <v>717</v>
      </c>
      <c r="O119" s="2" t="s">
        <v>718</v>
      </c>
      <c r="P119" s="2" t="s">
        <v>719</v>
      </c>
      <c r="Q119" t="s">
        <v>214</v>
      </c>
      <c r="R119" s="2"/>
      <c r="S119" s="1"/>
      <c r="T119" s="1"/>
    </row>
    <row r="120" spans="1:22" hidden="1">
      <c r="A120" s="10">
        <v>122</v>
      </c>
      <c r="B120" s="30">
        <v>45975.032314814802</v>
      </c>
      <c r="C120" s="30">
        <v>45975.034606481502</v>
      </c>
      <c r="D120" s="12" t="s">
        <v>22</v>
      </c>
      <c r="E120" s="3"/>
      <c r="F120" s="12" t="s">
        <v>39</v>
      </c>
      <c r="G120" s="11">
        <v>45974</v>
      </c>
      <c r="H120" s="13" t="s">
        <v>720</v>
      </c>
      <c r="I120" s="12" t="s">
        <v>721</v>
      </c>
      <c r="J120" s="13" t="s">
        <v>722</v>
      </c>
      <c r="K120" s="4" t="s">
        <v>350</v>
      </c>
      <c r="L120" s="2" t="s">
        <v>607</v>
      </c>
      <c r="M120" s="3" t="s">
        <v>723</v>
      </c>
      <c r="N120" s="2" t="s">
        <v>724</v>
      </c>
      <c r="O120" s="2" t="s">
        <v>54</v>
      </c>
      <c r="P120" s="2" t="s">
        <v>54</v>
      </c>
      <c r="Q120" t="s">
        <v>214</v>
      </c>
      <c r="R120" s="2"/>
      <c r="S120" s="1"/>
      <c r="T120" s="1"/>
    </row>
    <row r="121" spans="1:22" hidden="1">
      <c r="A121" s="10">
        <v>123</v>
      </c>
      <c r="B121" s="30">
        <v>45975.034641203703</v>
      </c>
      <c r="C121" s="30">
        <v>45975.035983796297</v>
      </c>
      <c r="D121" s="12" t="s">
        <v>22</v>
      </c>
      <c r="E121" s="3"/>
      <c r="F121" s="12" t="s">
        <v>39</v>
      </c>
      <c r="G121" s="11">
        <v>45974</v>
      </c>
      <c r="H121" s="13" t="s">
        <v>725</v>
      </c>
      <c r="I121" s="12" t="s">
        <v>726</v>
      </c>
      <c r="J121" s="13" t="s">
        <v>727</v>
      </c>
      <c r="K121" s="4" t="s">
        <v>428</v>
      </c>
      <c r="L121" s="2" t="s">
        <v>715</v>
      </c>
      <c r="M121" s="3" t="s">
        <v>728</v>
      </c>
      <c r="N121" s="2" t="s">
        <v>54</v>
      </c>
      <c r="O121" s="2" t="s">
        <v>54</v>
      </c>
      <c r="P121" s="2" t="s">
        <v>54</v>
      </c>
      <c r="Q121" t="s">
        <v>214</v>
      </c>
      <c r="R121" s="2"/>
      <c r="S121" s="1"/>
      <c r="T121" s="1"/>
    </row>
    <row r="122" spans="1:22" hidden="1">
      <c r="A122" s="10">
        <v>124</v>
      </c>
      <c r="B122" s="30">
        <v>45976.454166666699</v>
      </c>
      <c r="C122" s="30">
        <v>45976.455439814803</v>
      </c>
      <c r="D122" s="12" t="s">
        <v>22</v>
      </c>
      <c r="E122" s="3"/>
      <c r="F122" s="12" t="s">
        <v>39</v>
      </c>
      <c r="G122" s="11">
        <v>45976</v>
      </c>
      <c r="H122" s="13" t="s">
        <v>729</v>
      </c>
      <c r="I122" s="12" t="s">
        <v>730</v>
      </c>
      <c r="J122" s="13" t="s">
        <v>731</v>
      </c>
      <c r="K122" s="4" t="s">
        <v>657</v>
      </c>
      <c r="L122" s="2" t="s">
        <v>587</v>
      </c>
      <c r="M122" s="3" t="s">
        <v>732</v>
      </c>
      <c r="N122" s="2" t="s">
        <v>733</v>
      </c>
      <c r="O122" s="2" t="s">
        <v>54</v>
      </c>
      <c r="P122" s="2" t="s">
        <v>734</v>
      </c>
      <c r="Q122" t="s">
        <v>214</v>
      </c>
      <c r="R122" s="2"/>
      <c r="S122" s="1"/>
      <c r="T122" s="1"/>
    </row>
    <row r="123" spans="1:22" hidden="1">
      <c r="A123" s="10">
        <v>125</v>
      </c>
      <c r="B123" s="30">
        <v>45977.6720138889</v>
      </c>
      <c r="C123" s="30">
        <v>45977.683402777802</v>
      </c>
      <c r="D123" s="12" t="s">
        <v>22</v>
      </c>
      <c r="E123" s="3"/>
      <c r="F123" s="12" t="s">
        <v>39</v>
      </c>
      <c r="G123" s="11">
        <v>45976</v>
      </c>
      <c r="H123" s="13" t="s">
        <v>735</v>
      </c>
      <c r="I123" s="12" t="s">
        <v>736</v>
      </c>
      <c r="J123" s="13" t="s">
        <v>737</v>
      </c>
      <c r="K123" s="4" t="s">
        <v>235</v>
      </c>
      <c r="L123" s="2" t="s">
        <v>587</v>
      </c>
      <c r="M123" s="3" t="s">
        <v>738</v>
      </c>
      <c r="N123" s="2" t="s">
        <v>739</v>
      </c>
      <c r="O123" s="2" t="s">
        <v>54</v>
      </c>
      <c r="P123" s="2" t="s">
        <v>54</v>
      </c>
      <c r="Q123" t="s">
        <v>214</v>
      </c>
      <c r="R123" s="2"/>
      <c r="S123" s="1"/>
      <c r="T123" s="1"/>
    </row>
    <row r="124" spans="1:22" hidden="1">
      <c r="A124" s="10">
        <v>126</v>
      </c>
      <c r="B124" s="30">
        <v>45983.895891203698</v>
      </c>
      <c r="C124" s="30">
        <v>45983.8987962963</v>
      </c>
      <c r="D124" s="12" t="s">
        <v>22</v>
      </c>
      <c r="E124" s="3"/>
      <c r="F124" s="12" t="s">
        <v>39</v>
      </c>
      <c r="G124" s="11">
        <v>45983</v>
      </c>
      <c r="H124" s="13" t="s">
        <v>740</v>
      </c>
      <c r="I124" s="12" t="s">
        <v>741</v>
      </c>
      <c r="J124" s="13" t="s">
        <v>742</v>
      </c>
      <c r="K124" s="4" t="s">
        <v>218</v>
      </c>
      <c r="L124" s="2" t="s">
        <v>587</v>
      </c>
      <c r="M124" s="3" t="s">
        <v>743</v>
      </c>
      <c r="N124" s="2"/>
      <c r="O124" s="2" t="s">
        <v>744</v>
      </c>
      <c r="P124" s="2" t="s">
        <v>744</v>
      </c>
      <c r="Q124" t="s">
        <v>214</v>
      </c>
      <c r="R124" s="2"/>
      <c r="S124" s="1"/>
      <c r="T124" s="1"/>
    </row>
    <row r="125" spans="1:22" ht="15" hidden="1" customHeight="1">
      <c r="A125" s="10">
        <v>127</v>
      </c>
      <c r="B125" s="30">
        <v>45986.7420949074</v>
      </c>
      <c r="C125" s="30">
        <v>45986.748217592598</v>
      </c>
      <c r="D125" s="12" t="s">
        <v>22</v>
      </c>
      <c r="E125" s="3"/>
      <c r="F125" s="12" t="s">
        <v>39</v>
      </c>
      <c r="G125" s="11">
        <v>45984</v>
      </c>
      <c r="H125" s="13" t="s">
        <v>745</v>
      </c>
      <c r="I125" s="12" t="s">
        <v>746</v>
      </c>
      <c r="J125" s="13" t="s">
        <v>747</v>
      </c>
      <c r="K125" s="4" t="s">
        <v>245</v>
      </c>
      <c r="L125" s="2" t="s">
        <v>580</v>
      </c>
      <c r="M125" s="3" t="s">
        <v>748</v>
      </c>
      <c r="N125" s="2" t="s">
        <v>749</v>
      </c>
      <c r="O125" s="2" t="s">
        <v>750</v>
      </c>
      <c r="P125" s="2" t="s">
        <v>751</v>
      </c>
      <c r="Q125" t="s">
        <v>214</v>
      </c>
      <c r="R125" s="2"/>
      <c r="S125" s="1"/>
      <c r="T125" s="1"/>
    </row>
    <row r="126" spans="1:22" hidden="1">
      <c r="A126" s="10">
        <v>128</v>
      </c>
      <c r="B126" s="30">
        <v>45989.4448611111</v>
      </c>
      <c r="C126" s="30">
        <v>45989.448935185203</v>
      </c>
      <c r="D126" s="12" t="s">
        <v>22</v>
      </c>
      <c r="E126" s="3"/>
      <c r="F126" s="12" t="s">
        <v>31</v>
      </c>
      <c r="G126" s="11">
        <v>45987</v>
      </c>
      <c r="H126" s="13" t="s">
        <v>752</v>
      </c>
      <c r="I126" s="12" t="s">
        <v>753</v>
      </c>
      <c r="J126" s="13" t="s">
        <v>754</v>
      </c>
      <c r="K126" s="4" t="s">
        <v>235</v>
      </c>
      <c r="L126" s="2" t="s">
        <v>587</v>
      </c>
      <c r="M126" s="3" t="s">
        <v>755</v>
      </c>
      <c r="N126" s="2" t="s">
        <v>756</v>
      </c>
      <c r="O126" s="2" t="s">
        <v>37</v>
      </c>
      <c r="P126" s="2" t="s">
        <v>757</v>
      </c>
      <c r="Q126" t="s">
        <v>204</v>
      </c>
      <c r="R126" s="2" t="s">
        <v>758</v>
      </c>
      <c r="S126" s="1"/>
      <c r="T126" s="1"/>
      <c r="U126" t="s">
        <v>230</v>
      </c>
      <c r="V126" s="2" t="s">
        <v>759</v>
      </c>
    </row>
    <row r="127" spans="1:22" hidden="1">
      <c r="A127" s="10">
        <v>129</v>
      </c>
      <c r="B127" s="30">
        <v>45989.4780439815</v>
      </c>
      <c r="C127" s="30">
        <v>45989.479166666701</v>
      </c>
      <c r="D127" s="12" t="s">
        <v>22</v>
      </c>
      <c r="E127" s="3"/>
      <c r="F127" s="12" t="s">
        <v>39</v>
      </c>
      <c r="G127" s="11">
        <v>45987</v>
      </c>
      <c r="H127" s="13" t="s">
        <v>760</v>
      </c>
      <c r="I127" s="12" t="s">
        <v>761</v>
      </c>
      <c r="J127" s="13" t="s">
        <v>762</v>
      </c>
      <c r="K127" s="4" t="s">
        <v>235</v>
      </c>
      <c r="L127" s="2" t="s">
        <v>662</v>
      </c>
      <c r="M127" s="3" t="s">
        <v>763</v>
      </c>
      <c r="N127" s="2" t="s">
        <v>764</v>
      </c>
      <c r="O127" s="2" t="s">
        <v>476</v>
      </c>
      <c r="P127" s="2" t="s">
        <v>765</v>
      </c>
      <c r="Q127" t="s">
        <v>214</v>
      </c>
      <c r="R127" s="2"/>
      <c r="S127" s="1"/>
      <c r="T127" s="1"/>
    </row>
    <row r="128" spans="1:22" hidden="1">
      <c r="A128" s="10">
        <v>130</v>
      </c>
      <c r="B128" s="30">
        <v>45994.393634259301</v>
      </c>
      <c r="C128" s="30">
        <v>45994.403136574103</v>
      </c>
      <c r="D128" s="12" t="s">
        <v>22</v>
      </c>
      <c r="E128" s="3"/>
      <c r="F128" s="12" t="s">
        <v>39</v>
      </c>
      <c r="G128" s="11">
        <v>45992</v>
      </c>
      <c r="H128" s="13" t="s">
        <v>766</v>
      </c>
      <c r="I128" s="12" t="s">
        <v>767</v>
      </c>
      <c r="J128" s="13" t="s">
        <v>768</v>
      </c>
      <c r="K128" s="4" t="s">
        <v>428</v>
      </c>
      <c r="L128" s="2" t="s">
        <v>644</v>
      </c>
      <c r="M128" s="3" t="s">
        <v>769</v>
      </c>
      <c r="N128" s="2" t="s">
        <v>770</v>
      </c>
      <c r="O128" s="2" t="s">
        <v>771</v>
      </c>
      <c r="P128" s="2" t="s">
        <v>772</v>
      </c>
      <c r="Q128" t="s">
        <v>214</v>
      </c>
      <c r="R128" s="2"/>
      <c r="S128" s="1"/>
      <c r="T128" s="1"/>
    </row>
    <row r="129" spans="1:22" hidden="1">
      <c r="A129" s="10">
        <v>131</v>
      </c>
      <c r="B129" s="30">
        <v>45996.052210648202</v>
      </c>
      <c r="C129" s="30">
        <v>45996.053865740701</v>
      </c>
      <c r="D129" s="12" t="s">
        <v>22</v>
      </c>
      <c r="E129" s="3"/>
      <c r="F129" s="12" t="s">
        <v>39</v>
      </c>
      <c r="G129" s="11">
        <v>45995</v>
      </c>
      <c r="H129" s="13" t="s">
        <v>773</v>
      </c>
      <c r="I129" s="12" t="s">
        <v>774</v>
      </c>
      <c r="J129" s="13" t="s">
        <v>775</v>
      </c>
      <c r="K129" s="4" t="s">
        <v>245</v>
      </c>
      <c r="L129" s="2" t="s">
        <v>580</v>
      </c>
      <c r="M129" s="3" t="s">
        <v>776</v>
      </c>
      <c r="N129" s="2" t="s">
        <v>777</v>
      </c>
      <c r="O129" s="2" t="s">
        <v>218</v>
      </c>
      <c r="P129" s="2" t="s">
        <v>218</v>
      </c>
      <c r="Q129" t="s">
        <v>214</v>
      </c>
      <c r="R129" s="2"/>
      <c r="S129" s="1"/>
      <c r="T129" s="1"/>
    </row>
    <row r="130" spans="1:22" hidden="1">
      <c r="A130" s="10">
        <v>132</v>
      </c>
      <c r="B130" s="30">
        <v>46000.4069212963</v>
      </c>
      <c r="C130" s="30">
        <v>46000.412407407399</v>
      </c>
      <c r="D130" s="12" t="s">
        <v>22</v>
      </c>
      <c r="E130" s="3"/>
      <c r="F130" s="12" t="s">
        <v>39</v>
      </c>
      <c r="G130" s="11">
        <v>45999</v>
      </c>
      <c r="H130" s="13" t="s">
        <v>778</v>
      </c>
      <c r="I130" s="12" t="s">
        <v>779</v>
      </c>
      <c r="J130" s="13" t="s">
        <v>780</v>
      </c>
      <c r="K130" s="4" t="s">
        <v>282</v>
      </c>
      <c r="L130" s="2" t="s">
        <v>781</v>
      </c>
      <c r="M130" s="3" t="s">
        <v>782</v>
      </c>
      <c r="N130" s="2" t="s">
        <v>783</v>
      </c>
      <c r="O130" s="2" t="s">
        <v>771</v>
      </c>
      <c r="P130" s="2" t="s">
        <v>784</v>
      </c>
      <c r="Q130" t="s">
        <v>214</v>
      </c>
      <c r="R130" s="2"/>
      <c r="S130" s="1"/>
      <c r="T130" s="1"/>
    </row>
    <row r="131" spans="1:22" hidden="1">
      <c r="A131" s="10">
        <v>133</v>
      </c>
      <c r="B131" s="30">
        <v>46003.379212963002</v>
      </c>
      <c r="C131" s="30">
        <v>46003.393263888902</v>
      </c>
      <c r="D131" s="12" t="s">
        <v>22</v>
      </c>
      <c r="E131" s="3"/>
      <c r="F131" s="12" t="s">
        <v>39</v>
      </c>
      <c r="G131" s="11">
        <v>46002</v>
      </c>
      <c r="H131" s="13" t="s">
        <v>785</v>
      </c>
      <c r="I131" s="12" t="s">
        <v>786</v>
      </c>
      <c r="J131" s="13" t="s">
        <v>787</v>
      </c>
      <c r="K131" s="4" t="s">
        <v>350</v>
      </c>
      <c r="L131" s="2" t="s">
        <v>603</v>
      </c>
      <c r="M131" s="3" t="s">
        <v>788</v>
      </c>
      <c r="N131" s="2" t="s">
        <v>789</v>
      </c>
      <c r="O131" s="2" t="s">
        <v>771</v>
      </c>
      <c r="P131" s="2" t="s">
        <v>790</v>
      </c>
      <c r="Q131" t="s">
        <v>214</v>
      </c>
      <c r="R131" s="2"/>
      <c r="S131" s="1"/>
      <c r="T131" s="1"/>
    </row>
    <row r="132" spans="1:22" hidden="1">
      <c r="A132" s="10">
        <v>134</v>
      </c>
      <c r="B132" s="30">
        <v>46003.565509259301</v>
      </c>
      <c r="C132" s="30">
        <v>46003.569351851896</v>
      </c>
      <c r="D132" s="12" t="s">
        <v>22</v>
      </c>
      <c r="E132" s="3"/>
      <c r="F132" s="12" t="s">
        <v>39</v>
      </c>
      <c r="G132" s="11">
        <v>46003</v>
      </c>
      <c r="H132" s="13" t="s">
        <v>791</v>
      </c>
      <c r="I132" s="12" t="s">
        <v>792</v>
      </c>
      <c r="J132" s="13" t="s">
        <v>793</v>
      </c>
      <c r="K132" s="4" t="s">
        <v>245</v>
      </c>
      <c r="L132" s="2" t="s">
        <v>580</v>
      </c>
      <c r="M132" s="3" t="s">
        <v>794</v>
      </c>
      <c r="N132" s="2"/>
      <c r="O132" s="2" t="s">
        <v>188</v>
      </c>
      <c r="P132" s="2" t="s">
        <v>63</v>
      </c>
      <c r="Q132" t="s">
        <v>214</v>
      </c>
      <c r="R132" s="2"/>
      <c r="S132" s="1"/>
      <c r="T132" s="1"/>
    </row>
    <row r="133" spans="1:22" hidden="1">
      <c r="A133" s="10">
        <v>135</v>
      </c>
      <c r="B133" s="30">
        <v>46004.520729166703</v>
      </c>
      <c r="C133" s="30">
        <v>46004.524421296301</v>
      </c>
      <c r="D133" s="12" t="s">
        <v>22</v>
      </c>
      <c r="E133" s="3"/>
      <c r="F133" s="12" t="s">
        <v>39</v>
      </c>
      <c r="G133" s="11">
        <v>46004</v>
      </c>
      <c r="H133" s="13" t="s">
        <v>795</v>
      </c>
      <c r="I133" s="12" t="s">
        <v>796</v>
      </c>
      <c r="J133" s="13" t="s">
        <v>797</v>
      </c>
      <c r="K133" s="4" t="s">
        <v>245</v>
      </c>
      <c r="L133" s="2" t="s">
        <v>580</v>
      </c>
      <c r="M133" s="3" t="s">
        <v>798</v>
      </c>
      <c r="N133" s="2" t="s">
        <v>799</v>
      </c>
      <c r="O133" s="2" t="s">
        <v>476</v>
      </c>
      <c r="P133" s="2" t="s">
        <v>800</v>
      </c>
      <c r="Q133" t="s">
        <v>214</v>
      </c>
      <c r="R133" s="2"/>
      <c r="S133" s="1"/>
      <c r="T133" s="1"/>
    </row>
    <row r="134" spans="1:22" hidden="1">
      <c r="A134" s="10">
        <v>136</v>
      </c>
      <c r="B134" s="30">
        <v>46005.949571759302</v>
      </c>
      <c r="C134" s="30">
        <v>46005.951493055603</v>
      </c>
      <c r="D134" s="12" t="s">
        <v>22</v>
      </c>
      <c r="E134" s="3"/>
      <c r="F134" s="12" t="s">
        <v>39</v>
      </c>
      <c r="G134" s="11">
        <v>45984</v>
      </c>
      <c r="H134" s="13" t="s">
        <v>801</v>
      </c>
      <c r="I134" s="12" t="s">
        <v>802</v>
      </c>
      <c r="J134" s="13" t="s">
        <v>42</v>
      </c>
      <c r="K134" s="4" t="s">
        <v>218</v>
      </c>
      <c r="L134" s="2" t="s">
        <v>710</v>
      </c>
      <c r="M134" s="3" t="s">
        <v>803</v>
      </c>
      <c r="N134" s="2"/>
      <c r="O134" s="2" t="s">
        <v>42</v>
      </c>
      <c r="P134" s="2" t="s">
        <v>804</v>
      </c>
      <c r="Q134" t="s">
        <v>214</v>
      </c>
      <c r="R134" s="2"/>
      <c r="S134" s="1"/>
      <c r="T134" s="1"/>
    </row>
    <row r="135" spans="1:22" ht="15" hidden="1">
      <c r="A135" s="10">
        <v>137</v>
      </c>
      <c r="B135" s="30">
        <v>46007.808993055602</v>
      </c>
      <c r="C135" s="30">
        <v>46007.8116435185</v>
      </c>
      <c r="D135" s="12" t="s">
        <v>22</v>
      </c>
      <c r="E135" s="3"/>
      <c r="F135" s="12" t="s">
        <v>150</v>
      </c>
      <c r="G135" s="11">
        <v>46005</v>
      </c>
      <c r="H135" s="13" t="s">
        <v>805</v>
      </c>
      <c r="I135" s="12" t="s">
        <v>806</v>
      </c>
      <c r="J135" s="13" t="s">
        <v>807</v>
      </c>
      <c r="K135" s="4" t="s">
        <v>218</v>
      </c>
      <c r="L135" s="2" t="s">
        <v>808</v>
      </c>
      <c r="M135" s="3" t="s">
        <v>809</v>
      </c>
      <c r="N135" s="2" t="s">
        <v>810</v>
      </c>
      <c r="O135" s="2" t="s">
        <v>155</v>
      </c>
      <c r="P135" s="2" t="s">
        <v>811</v>
      </c>
      <c r="Q135" t="s">
        <v>214</v>
      </c>
      <c r="R135" s="2"/>
      <c r="S135" s="1"/>
      <c r="T135" s="1"/>
    </row>
    <row r="136" spans="1:22" ht="15" hidden="1">
      <c r="A136" s="10">
        <v>138</v>
      </c>
      <c r="B136" s="30">
        <v>46009.887766203698</v>
      </c>
      <c r="C136" s="30">
        <v>46009.8909837963</v>
      </c>
      <c r="D136" s="12" t="s">
        <v>22</v>
      </c>
      <c r="E136" s="3"/>
      <c r="F136" s="12" t="s">
        <v>39</v>
      </c>
      <c r="G136" s="11">
        <v>45997</v>
      </c>
      <c r="H136" s="13" t="s">
        <v>812</v>
      </c>
      <c r="I136" s="12" t="s">
        <v>813</v>
      </c>
      <c r="J136" s="13" t="s">
        <v>814</v>
      </c>
      <c r="K136" s="4" t="s">
        <v>245</v>
      </c>
      <c r="L136" s="2" t="s">
        <v>662</v>
      </c>
      <c r="M136" s="3" t="s">
        <v>815</v>
      </c>
      <c r="N136" s="2" t="s">
        <v>816</v>
      </c>
      <c r="O136" s="2" t="s">
        <v>817</v>
      </c>
      <c r="P136" s="2" t="s">
        <v>817</v>
      </c>
      <c r="Q136" t="s">
        <v>204</v>
      </c>
      <c r="R136" s="2" t="s">
        <v>818</v>
      </c>
      <c r="S136" s="1">
        <v>45997</v>
      </c>
      <c r="T136" s="1" t="s">
        <v>276</v>
      </c>
      <c r="U136" t="s">
        <v>277</v>
      </c>
      <c r="V136" t="s">
        <v>819</v>
      </c>
    </row>
    <row r="137" spans="1:22" ht="15" hidden="1">
      <c r="A137" s="10">
        <v>139</v>
      </c>
      <c r="B137" s="30">
        <v>46012.868206018502</v>
      </c>
      <c r="C137" s="30">
        <v>46012.872951388897</v>
      </c>
      <c r="D137" s="12" t="s">
        <v>22</v>
      </c>
      <c r="E137" s="3"/>
      <c r="F137" s="12" t="s">
        <v>157</v>
      </c>
      <c r="G137" s="11">
        <v>46011</v>
      </c>
      <c r="H137" s="13" t="s">
        <v>820</v>
      </c>
      <c r="I137" s="12" t="s">
        <v>821</v>
      </c>
      <c r="J137" s="13" t="s">
        <v>822</v>
      </c>
      <c r="K137" s="4" t="s">
        <v>218</v>
      </c>
      <c r="L137" s="2" t="s">
        <v>576</v>
      </c>
      <c r="M137" s="3" t="s">
        <v>823</v>
      </c>
      <c r="N137" s="2" t="s">
        <v>824</v>
      </c>
      <c r="O137" s="2" t="s">
        <v>188</v>
      </c>
      <c r="P137" s="2" t="s">
        <v>63</v>
      </c>
      <c r="Q137" t="s">
        <v>214</v>
      </c>
      <c r="R137" s="2"/>
      <c r="S137" s="1"/>
      <c r="T137" s="1"/>
    </row>
    <row r="138" spans="1:22" ht="15" hidden="1">
      <c r="A138" s="10">
        <v>140</v>
      </c>
      <c r="B138" s="30">
        <v>46013.5640740741</v>
      </c>
      <c r="C138" s="30">
        <v>46013.567557870403</v>
      </c>
      <c r="D138" s="12" t="s">
        <v>22</v>
      </c>
      <c r="E138" s="3"/>
      <c r="F138" s="12" t="s">
        <v>39</v>
      </c>
      <c r="G138" s="11">
        <v>46012</v>
      </c>
      <c r="H138" s="13" t="s">
        <v>825</v>
      </c>
      <c r="I138" s="12" t="s">
        <v>826</v>
      </c>
      <c r="J138" s="13" t="s">
        <v>827</v>
      </c>
      <c r="K138" s="4" t="s">
        <v>245</v>
      </c>
      <c r="L138" s="2" t="s">
        <v>580</v>
      </c>
      <c r="M138" s="3" t="s">
        <v>828</v>
      </c>
      <c r="N138" s="2" t="s">
        <v>829</v>
      </c>
      <c r="O138" s="2" t="s">
        <v>830</v>
      </c>
      <c r="P138" s="2" t="s">
        <v>831</v>
      </c>
      <c r="Q138" t="s">
        <v>214</v>
      </c>
      <c r="R138" s="2"/>
      <c r="S138" s="1"/>
      <c r="T138" s="1"/>
    </row>
    <row r="139" spans="1:22" hidden="1">
      <c r="A139" s="10">
        <v>141</v>
      </c>
      <c r="B139" s="30">
        <v>46013.763067129599</v>
      </c>
      <c r="C139" s="30">
        <v>46013.781620370399</v>
      </c>
      <c r="D139" s="12" t="s">
        <v>22</v>
      </c>
      <c r="E139" s="3"/>
      <c r="F139" s="12" t="s">
        <v>39</v>
      </c>
      <c r="G139" s="11">
        <v>46013</v>
      </c>
      <c r="H139" s="13" t="s">
        <v>832</v>
      </c>
      <c r="I139" s="12" t="s">
        <v>833</v>
      </c>
      <c r="J139" s="13" t="s">
        <v>834</v>
      </c>
      <c r="K139" s="4" t="s">
        <v>350</v>
      </c>
      <c r="L139" s="2" t="s">
        <v>607</v>
      </c>
      <c r="M139" s="3" t="s">
        <v>835</v>
      </c>
      <c r="N139" s="2" t="s">
        <v>836</v>
      </c>
      <c r="O139" s="2" t="s">
        <v>837</v>
      </c>
      <c r="P139" s="2" t="s">
        <v>838</v>
      </c>
      <c r="Q139" t="s">
        <v>214</v>
      </c>
      <c r="R139" s="2"/>
      <c r="S139" s="1"/>
      <c r="T139" s="1"/>
    </row>
    <row r="140" spans="1:22" ht="15" hidden="1">
      <c r="A140" s="10">
        <v>142</v>
      </c>
      <c r="B140" s="30">
        <v>46020.901041666701</v>
      </c>
      <c r="C140" s="30">
        <v>46020.902476851901</v>
      </c>
      <c r="D140" s="12" t="s">
        <v>22</v>
      </c>
      <c r="E140" s="3"/>
      <c r="F140" s="12" t="s">
        <v>157</v>
      </c>
      <c r="G140" s="11">
        <v>46020</v>
      </c>
      <c r="H140" s="13" t="s">
        <v>839</v>
      </c>
      <c r="I140" s="12" t="s">
        <v>840</v>
      </c>
      <c r="J140" s="13" t="s">
        <v>841</v>
      </c>
      <c r="K140" s="4" t="s">
        <v>218</v>
      </c>
      <c r="L140" s="2" t="s">
        <v>842</v>
      </c>
      <c r="M140" s="3" t="s">
        <v>843</v>
      </c>
      <c r="N140" s="2"/>
      <c r="O140" s="2" t="s">
        <v>844</v>
      </c>
      <c r="P140" s="2" t="s">
        <v>845</v>
      </c>
      <c r="Q140" t="s">
        <v>214</v>
      </c>
      <c r="R140" s="2"/>
      <c r="S140" s="1"/>
      <c r="T140" s="1"/>
    </row>
    <row r="141" spans="1:22" ht="15" hidden="1">
      <c r="A141" s="10">
        <v>143</v>
      </c>
      <c r="B141" s="30">
        <v>46021.458877314799</v>
      </c>
      <c r="C141" s="30">
        <v>46021.464976851901</v>
      </c>
      <c r="D141" s="12" t="s">
        <v>22</v>
      </c>
      <c r="E141" s="3"/>
      <c r="F141" s="12" t="s">
        <v>39</v>
      </c>
      <c r="G141" s="11">
        <v>46015</v>
      </c>
      <c r="H141" s="13" t="s">
        <v>846</v>
      </c>
      <c r="I141" s="12" t="s">
        <v>847</v>
      </c>
      <c r="J141" s="13" t="s">
        <v>848</v>
      </c>
      <c r="K141" s="4" t="s">
        <v>245</v>
      </c>
      <c r="L141" s="2" t="s">
        <v>580</v>
      </c>
      <c r="M141" s="3" t="s">
        <v>849</v>
      </c>
      <c r="N141" s="2" t="s">
        <v>850</v>
      </c>
      <c r="O141" s="2" t="s">
        <v>93</v>
      </c>
      <c r="P141" s="2" t="s">
        <v>93</v>
      </c>
      <c r="Q141" t="s">
        <v>214</v>
      </c>
      <c r="R141" s="2"/>
      <c r="S141" s="1"/>
      <c r="T141" s="1"/>
    </row>
    <row r="142" spans="1:22" hidden="1">
      <c r="A142" s="10">
        <v>144</v>
      </c>
      <c r="B142" s="30">
        <v>46021.760914351798</v>
      </c>
      <c r="C142" s="30">
        <v>46021.764305555596</v>
      </c>
      <c r="D142" s="12" t="s">
        <v>22</v>
      </c>
      <c r="E142" s="3"/>
      <c r="F142" s="12" t="s">
        <v>39</v>
      </c>
      <c r="G142" s="11">
        <v>46019</v>
      </c>
      <c r="H142" s="13" t="s">
        <v>851</v>
      </c>
      <c r="I142" s="12" t="s">
        <v>852</v>
      </c>
      <c r="J142" s="13" t="s">
        <v>853</v>
      </c>
      <c r="K142" s="4" t="s">
        <v>245</v>
      </c>
      <c r="L142" s="2" t="s">
        <v>603</v>
      </c>
      <c r="M142" s="3" t="s">
        <v>854</v>
      </c>
      <c r="N142" s="2" t="s">
        <v>855</v>
      </c>
      <c r="O142" s="2" t="s">
        <v>476</v>
      </c>
      <c r="P142" s="2" t="s">
        <v>790</v>
      </c>
      <c r="Q142" t="s">
        <v>214</v>
      </c>
      <c r="R142" s="2"/>
      <c r="S142" s="1"/>
      <c r="T142" s="1"/>
    </row>
    <row r="143" spans="1:22" hidden="1">
      <c r="A143" s="10">
        <v>145</v>
      </c>
      <c r="B143" s="30">
        <v>46021.764386574097</v>
      </c>
      <c r="C143" s="30">
        <v>46021.7734837963</v>
      </c>
      <c r="D143" s="12" t="s">
        <v>22</v>
      </c>
      <c r="E143" s="3"/>
      <c r="F143" s="12" t="s">
        <v>39</v>
      </c>
      <c r="G143" s="11">
        <v>46019</v>
      </c>
      <c r="H143" s="13" t="s">
        <v>856</v>
      </c>
      <c r="I143" s="12" t="s">
        <v>857</v>
      </c>
      <c r="J143" s="13" t="s">
        <v>858</v>
      </c>
      <c r="K143" s="4" t="s">
        <v>235</v>
      </c>
      <c r="L143" s="2" t="s">
        <v>603</v>
      </c>
      <c r="M143" s="3" t="s">
        <v>859</v>
      </c>
      <c r="N143" s="2" t="s">
        <v>860</v>
      </c>
      <c r="O143" s="2" t="s">
        <v>476</v>
      </c>
      <c r="P143" s="2" t="s">
        <v>238</v>
      </c>
      <c r="Q143" t="s">
        <v>214</v>
      </c>
      <c r="R143" s="2"/>
      <c r="S143" s="1"/>
      <c r="T143" s="1"/>
    </row>
    <row r="144" spans="1:22" hidden="1">
      <c r="A144" s="10">
        <v>146</v>
      </c>
      <c r="B144" s="30">
        <v>46022.792303240698</v>
      </c>
      <c r="C144" s="30">
        <v>46022.794733796298</v>
      </c>
      <c r="D144" s="12" t="s">
        <v>22</v>
      </c>
      <c r="E144" s="3"/>
      <c r="F144" s="12" t="s">
        <v>150</v>
      </c>
      <c r="G144" s="11">
        <v>46005</v>
      </c>
      <c r="H144" s="13" t="s">
        <v>861</v>
      </c>
      <c r="I144" s="12" t="s">
        <v>862</v>
      </c>
      <c r="J144" s="13" t="s">
        <v>863</v>
      </c>
      <c r="K144" s="4" t="s">
        <v>235</v>
      </c>
      <c r="L144" s="2" t="s">
        <v>587</v>
      </c>
      <c r="M144" s="3" t="s">
        <v>864</v>
      </c>
      <c r="N144" s="2" t="s">
        <v>865</v>
      </c>
      <c r="O144" s="2" t="s">
        <v>155</v>
      </c>
      <c r="P144" s="2" t="s">
        <v>866</v>
      </c>
      <c r="Q144" t="s">
        <v>214</v>
      </c>
      <c r="R144" s="2"/>
      <c r="S144" s="1"/>
      <c r="T144" s="1"/>
    </row>
    <row r="145" spans="1:22" hidden="1">
      <c r="A145" s="10">
        <v>147</v>
      </c>
      <c r="B145" s="30">
        <v>46022.794814814799</v>
      </c>
      <c r="C145" s="30">
        <v>46022.937754629602</v>
      </c>
      <c r="D145" s="12" t="s">
        <v>22</v>
      </c>
      <c r="E145" s="3"/>
      <c r="F145" s="12" t="s">
        <v>150</v>
      </c>
      <c r="G145" s="11">
        <v>46022</v>
      </c>
      <c r="H145" s="13" t="s">
        <v>867</v>
      </c>
      <c r="I145" s="13" t="s">
        <v>155</v>
      </c>
      <c r="J145" s="13" t="s">
        <v>153</v>
      </c>
      <c r="K145" s="4" t="s">
        <v>235</v>
      </c>
      <c r="L145" s="2" t="s">
        <v>710</v>
      </c>
      <c r="M145" s="3" t="s">
        <v>868</v>
      </c>
      <c r="N145" s="2" t="s">
        <v>869</v>
      </c>
      <c r="O145" s="2" t="s">
        <v>155</v>
      </c>
      <c r="P145" s="2" t="s">
        <v>870</v>
      </c>
      <c r="Q145" t="s">
        <v>204</v>
      </c>
      <c r="R145" s="2" t="s">
        <v>871</v>
      </c>
      <c r="S145" s="1">
        <v>46022</v>
      </c>
      <c r="T145" s="1" t="s">
        <v>276</v>
      </c>
      <c r="U145" t="s">
        <v>423</v>
      </c>
      <c r="V145" t="s">
        <v>872</v>
      </c>
    </row>
    <row r="146" spans="1:22" hidden="1">
      <c r="A146" s="10">
        <v>148</v>
      </c>
      <c r="B146" s="30">
        <v>46025.669976851903</v>
      </c>
      <c r="C146" s="30">
        <v>46025.6784259259</v>
      </c>
      <c r="D146" s="12" t="s">
        <v>22</v>
      </c>
      <c r="E146" s="3"/>
      <c r="F146" s="12" t="s">
        <v>23</v>
      </c>
      <c r="G146" s="11">
        <v>46023</v>
      </c>
      <c r="H146" s="13" t="s">
        <v>42</v>
      </c>
      <c r="I146" s="12" t="s">
        <v>873</v>
      </c>
      <c r="J146" s="13" t="s">
        <v>42</v>
      </c>
      <c r="K146" s="4" t="s">
        <v>218</v>
      </c>
      <c r="L146" s="2" t="s">
        <v>587</v>
      </c>
      <c r="M146" s="3" t="s">
        <v>874</v>
      </c>
      <c r="N146" s="2" t="s">
        <v>875</v>
      </c>
      <c r="O146" s="2" t="s">
        <v>876</v>
      </c>
      <c r="P146" s="2" t="s">
        <v>877</v>
      </c>
      <c r="Q146" t="s">
        <v>214</v>
      </c>
      <c r="R146" s="2"/>
      <c r="S146" s="1"/>
      <c r="T146" s="1"/>
    </row>
    <row r="147" spans="1:22" hidden="1">
      <c r="A147" s="10">
        <v>149</v>
      </c>
      <c r="B147" s="30">
        <v>46025.701585648101</v>
      </c>
      <c r="C147" s="30">
        <v>46025.715277777803</v>
      </c>
      <c r="D147" s="12" t="s">
        <v>22</v>
      </c>
      <c r="E147" s="3"/>
      <c r="F147" s="12" t="s">
        <v>878</v>
      </c>
      <c r="G147" s="11">
        <v>46019</v>
      </c>
      <c r="H147" s="13" t="s">
        <v>879</v>
      </c>
      <c r="I147" s="12" t="s">
        <v>880</v>
      </c>
      <c r="J147" s="13" t="s">
        <v>881</v>
      </c>
      <c r="K147" s="4" t="s">
        <v>225</v>
      </c>
      <c r="L147" s="2" t="s">
        <v>603</v>
      </c>
      <c r="M147" s="3" t="s">
        <v>882</v>
      </c>
      <c r="N147" s="2"/>
      <c r="O147" s="2" t="s">
        <v>42</v>
      </c>
      <c r="P147" s="2" t="s">
        <v>883</v>
      </c>
      <c r="Q147" t="s">
        <v>214</v>
      </c>
      <c r="R147" s="2"/>
      <c r="S147" s="1"/>
      <c r="T147" s="1"/>
    </row>
    <row r="148" spans="1:22" hidden="1">
      <c r="A148" s="10">
        <v>150</v>
      </c>
      <c r="B148" s="30">
        <v>46026.323310185202</v>
      </c>
      <c r="C148" s="30">
        <v>46026.326215277797</v>
      </c>
      <c r="D148" s="12" t="s">
        <v>22</v>
      </c>
      <c r="E148" s="3"/>
      <c r="F148" s="12" t="s">
        <v>39</v>
      </c>
      <c r="G148" s="11">
        <v>46025</v>
      </c>
      <c r="H148" s="13" t="s">
        <v>884</v>
      </c>
      <c r="I148" s="12" t="s">
        <v>885</v>
      </c>
      <c r="J148" s="13" t="s">
        <v>886</v>
      </c>
      <c r="K148" s="4" t="s">
        <v>245</v>
      </c>
      <c r="L148" s="2" t="s">
        <v>580</v>
      </c>
      <c r="M148" s="3" t="s">
        <v>887</v>
      </c>
      <c r="N148" s="2" t="s">
        <v>888</v>
      </c>
      <c r="O148" s="2" t="s">
        <v>889</v>
      </c>
      <c r="P148" s="2" t="s">
        <v>890</v>
      </c>
      <c r="Q148" t="s">
        <v>214</v>
      </c>
      <c r="R148" s="2"/>
      <c r="S148" s="1"/>
      <c r="T148" s="1"/>
    </row>
    <row r="149" spans="1:22" ht="15" hidden="1">
      <c r="A149" s="10">
        <v>151</v>
      </c>
      <c r="B149" s="30">
        <v>46031.5527083333</v>
      </c>
      <c r="C149" s="30">
        <v>46031.555752314802</v>
      </c>
      <c r="D149" s="12" t="s">
        <v>22</v>
      </c>
      <c r="E149" s="3"/>
      <c r="F149" s="12" t="s">
        <v>157</v>
      </c>
      <c r="G149" s="11">
        <v>46030</v>
      </c>
      <c r="H149" s="13" t="s">
        <v>891</v>
      </c>
      <c r="I149" s="12" t="s">
        <v>892</v>
      </c>
      <c r="J149" s="13" t="s">
        <v>893</v>
      </c>
      <c r="K149" s="4" t="s">
        <v>235</v>
      </c>
      <c r="L149" s="2" t="s">
        <v>587</v>
      </c>
      <c r="M149" s="3" t="s">
        <v>894</v>
      </c>
      <c r="N149" s="2" t="s">
        <v>895</v>
      </c>
      <c r="O149" s="2" t="s">
        <v>260</v>
      </c>
      <c r="P149" s="2" t="s">
        <v>896</v>
      </c>
      <c r="Q149" t="s">
        <v>214</v>
      </c>
      <c r="R149" s="2"/>
      <c r="S149" s="1"/>
      <c r="T149" s="1"/>
    </row>
    <row r="150" spans="1:22" ht="15" hidden="1">
      <c r="A150" s="10">
        <v>152</v>
      </c>
      <c r="B150" s="30">
        <v>46041.100451388898</v>
      </c>
      <c r="C150" s="30">
        <v>46041.103564814803</v>
      </c>
      <c r="D150" s="12" t="s">
        <v>22</v>
      </c>
      <c r="E150" s="3"/>
      <c r="F150" s="12" t="s">
        <v>150</v>
      </c>
      <c r="G150" s="11">
        <v>46035</v>
      </c>
      <c r="H150" s="13" t="s">
        <v>897</v>
      </c>
      <c r="I150" s="12" t="s">
        <v>898</v>
      </c>
      <c r="J150" s="13" t="s">
        <v>899</v>
      </c>
      <c r="K150" s="4" t="s">
        <v>245</v>
      </c>
      <c r="L150" s="2" t="s">
        <v>580</v>
      </c>
      <c r="M150" s="3" t="s">
        <v>900</v>
      </c>
      <c r="N150" s="2" t="s">
        <v>901</v>
      </c>
      <c r="O150" s="2" t="s">
        <v>155</v>
      </c>
      <c r="P150" s="2" t="s">
        <v>902</v>
      </c>
      <c r="Q150" t="s">
        <v>204</v>
      </c>
      <c r="R150" s="2" t="s">
        <v>903</v>
      </c>
      <c r="S150" s="1">
        <v>46036</v>
      </c>
      <c r="T150" s="1" t="s">
        <v>276</v>
      </c>
      <c r="U150" t="s">
        <v>389</v>
      </c>
      <c r="V150" t="s">
        <v>904</v>
      </c>
    </row>
    <row r="151" spans="1:22" ht="15" hidden="1">
      <c r="A151" s="10">
        <v>153</v>
      </c>
      <c r="B151" s="30">
        <v>46046.338206018503</v>
      </c>
      <c r="C151" s="30">
        <v>46046.343958333302</v>
      </c>
      <c r="D151" s="12" t="s">
        <v>22</v>
      </c>
      <c r="E151" s="3"/>
      <c r="F151" s="12" t="s">
        <v>39</v>
      </c>
      <c r="G151" s="11">
        <v>46045</v>
      </c>
      <c r="H151" s="13" t="s">
        <v>905</v>
      </c>
      <c r="I151" s="12" t="s">
        <v>906</v>
      </c>
      <c r="J151" s="13" t="s">
        <v>907</v>
      </c>
      <c r="K151" s="4" t="s">
        <v>908</v>
      </c>
      <c r="L151" s="2" t="s">
        <v>644</v>
      </c>
      <c r="M151" s="3" t="s">
        <v>909</v>
      </c>
      <c r="N151" s="2" t="s">
        <v>910</v>
      </c>
      <c r="O151" s="2" t="s">
        <v>718</v>
      </c>
      <c r="P151" s="2" t="s">
        <v>911</v>
      </c>
      <c r="Q151" t="s">
        <v>214</v>
      </c>
      <c r="R151" s="2"/>
      <c r="S151" s="1"/>
      <c r="T151" s="1"/>
    </row>
    <row r="152" spans="1:22" ht="15" hidden="1">
      <c r="A152" s="10">
        <v>154</v>
      </c>
      <c r="B152" s="30">
        <v>46049.385300925896</v>
      </c>
      <c r="C152" s="30">
        <v>46049.390694444402</v>
      </c>
      <c r="D152" s="12" t="s">
        <v>22</v>
      </c>
      <c r="E152" s="3"/>
      <c r="F152" s="12" t="s">
        <v>39</v>
      </c>
      <c r="G152" s="11">
        <v>46046</v>
      </c>
      <c r="H152" s="13" t="s">
        <v>912</v>
      </c>
      <c r="I152" s="12" t="s">
        <v>913</v>
      </c>
      <c r="J152" s="13" t="s">
        <v>914</v>
      </c>
      <c r="K152" s="4" t="s">
        <v>235</v>
      </c>
      <c r="L152" s="2" t="s">
        <v>580</v>
      </c>
      <c r="M152" s="3" t="s">
        <v>915</v>
      </c>
      <c r="N152" s="2" t="s">
        <v>916</v>
      </c>
      <c r="O152" s="2" t="s">
        <v>188</v>
      </c>
      <c r="P152" s="2" t="s">
        <v>146</v>
      </c>
      <c r="Q152" t="s">
        <v>214</v>
      </c>
      <c r="R152" s="2"/>
      <c r="S152" s="1"/>
      <c r="T152" s="1"/>
    </row>
    <row r="153" spans="1:22" ht="15" hidden="1">
      <c r="A153" s="10">
        <v>155</v>
      </c>
      <c r="B153" s="30">
        <v>46051.5571180556</v>
      </c>
      <c r="C153" s="30">
        <v>46051.5601157407</v>
      </c>
      <c r="D153" s="12" t="s">
        <v>22</v>
      </c>
      <c r="E153" s="3"/>
      <c r="F153" s="12" t="s">
        <v>39</v>
      </c>
      <c r="G153" s="11">
        <v>46051</v>
      </c>
      <c r="H153" s="13" t="s">
        <v>917</v>
      </c>
      <c r="I153" s="12" t="s">
        <v>918</v>
      </c>
      <c r="J153" s="13" t="s">
        <v>919</v>
      </c>
      <c r="K153" s="4" t="s">
        <v>282</v>
      </c>
      <c r="L153" s="2" t="s">
        <v>587</v>
      </c>
      <c r="M153" s="3" t="s">
        <v>920</v>
      </c>
      <c r="N153" s="2" t="s">
        <v>921</v>
      </c>
      <c r="O153" s="2" t="s">
        <v>188</v>
      </c>
      <c r="P153" s="2" t="s">
        <v>922</v>
      </c>
      <c r="Q153" t="s">
        <v>214</v>
      </c>
      <c r="R153" s="2"/>
      <c r="S153" s="1"/>
      <c r="T153" s="1"/>
    </row>
    <row r="154" spans="1:22" ht="15" hidden="1">
      <c r="A154" s="10">
        <v>156</v>
      </c>
      <c r="B154" s="30">
        <v>46051.561145833301</v>
      </c>
      <c r="C154" s="30">
        <v>46051.567835648202</v>
      </c>
      <c r="D154" s="12" t="s">
        <v>22</v>
      </c>
      <c r="E154" s="3"/>
      <c r="F154" s="12" t="s">
        <v>39</v>
      </c>
      <c r="G154" s="11">
        <v>46049</v>
      </c>
      <c r="H154" s="13" t="s">
        <v>923</v>
      </c>
      <c r="I154" s="12" t="s">
        <v>924</v>
      </c>
      <c r="J154" s="13" t="s">
        <v>925</v>
      </c>
      <c r="K154" s="4" t="s">
        <v>245</v>
      </c>
      <c r="L154" s="2" t="s">
        <v>580</v>
      </c>
      <c r="M154" s="3" t="s">
        <v>926</v>
      </c>
      <c r="N154" s="2" t="s">
        <v>927</v>
      </c>
      <c r="O154" s="2" t="s">
        <v>188</v>
      </c>
      <c r="P154" s="2" t="s">
        <v>928</v>
      </c>
      <c r="Q154" t="s">
        <v>214</v>
      </c>
      <c r="R154" s="2"/>
      <c r="S154" s="1"/>
      <c r="T154" s="1"/>
    </row>
    <row r="155" spans="1:22" ht="15" hidden="1">
      <c r="A155" s="10">
        <v>157</v>
      </c>
      <c r="B155" s="30">
        <v>46052.731180555602</v>
      </c>
      <c r="C155" s="30">
        <v>46052.732870370397</v>
      </c>
      <c r="D155" s="12" t="s">
        <v>22</v>
      </c>
      <c r="E155" s="3"/>
      <c r="F155" s="12" t="s">
        <v>39</v>
      </c>
      <c r="G155" s="11">
        <v>46052</v>
      </c>
      <c r="H155" s="13" t="s">
        <v>929</v>
      </c>
      <c r="I155" s="12" t="s">
        <v>930</v>
      </c>
      <c r="J155" s="13" t="s">
        <v>931</v>
      </c>
      <c r="K155" s="4" t="s">
        <v>225</v>
      </c>
      <c r="L155" s="2" t="s">
        <v>587</v>
      </c>
      <c r="M155" s="3" t="s">
        <v>932</v>
      </c>
      <c r="N155" s="2" t="s">
        <v>933</v>
      </c>
      <c r="O155" s="2" t="s">
        <v>934</v>
      </c>
      <c r="P155" s="2" t="s">
        <v>934</v>
      </c>
      <c r="Q155" t="s">
        <v>214</v>
      </c>
      <c r="R155" s="2"/>
      <c r="S155" s="1"/>
      <c r="T155" s="1"/>
    </row>
    <row r="156" spans="1:22" ht="15" hidden="1">
      <c r="A156" s="10">
        <v>162</v>
      </c>
      <c r="B156" s="30">
        <v>46063.6324074074</v>
      </c>
      <c r="C156" s="30">
        <v>46063.636770833298</v>
      </c>
      <c r="D156" s="12" t="s">
        <v>22</v>
      </c>
      <c r="E156" s="3"/>
      <c r="F156" s="12" t="s">
        <v>23</v>
      </c>
      <c r="G156" s="11">
        <v>46056</v>
      </c>
      <c r="H156" s="13" t="s">
        <v>935</v>
      </c>
      <c r="I156" s="12" t="s">
        <v>308</v>
      </c>
      <c r="J156" s="13" t="s">
        <v>310</v>
      </c>
      <c r="K156" s="4" t="s">
        <v>908</v>
      </c>
      <c r="L156" s="2" t="s">
        <v>576</v>
      </c>
      <c r="M156" s="3" t="s">
        <v>936</v>
      </c>
      <c r="N156" s="2" t="s">
        <v>42</v>
      </c>
      <c r="O156" s="2" t="s">
        <v>313</v>
      </c>
      <c r="P156" s="2" t="s">
        <v>308</v>
      </c>
      <c r="Q156" t="s">
        <v>214</v>
      </c>
      <c r="R156" s="2"/>
      <c r="S156" s="1"/>
      <c r="T156" s="1"/>
    </row>
    <row r="157" spans="1:22" ht="15" hidden="1">
      <c r="A157" s="10">
        <v>166</v>
      </c>
      <c r="B157" s="30">
        <v>46080.550185185202</v>
      </c>
      <c r="C157" s="30">
        <v>46080.561458333301</v>
      </c>
      <c r="D157" s="12" t="s">
        <v>22</v>
      </c>
      <c r="E157" s="3"/>
      <c r="F157" s="12" t="s">
        <v>31</v>
      </c>
      <c r="G157" s="11">
        <v>46068</v>
      </c>
      <c r="H157" s="13" t="s">
        <v>937</v>
      </c>
      <c r="I157" s="12" t="s">
        <v>938</v>
      </c>
      <c r="J157" s="13" t="s">
        <v>939</v>
      </c>
      <c r="K157" s="4" t="s">
        <v>235</v>
      </c>
      <c r="L157" s="2" t="s">
        <v>940</v>
      </c>
      <c r="M157" s="3" t="s">
        <v>941</v>
      </c>
      <c r="N157" s="2" t="s">
        <v>942</v>
      </c>
      <c r="O157" s="2" t="s">
        <v>37</v>
      </c>
      <c r="P157" s="2" t="s">
        <v>943</v>
      </c>
      <c r="Q157" t="s">
        <v>204</v>
      </c>
      <c r="R157" s="2"/>
      <c r="S157" s="1"/>
      <c r="T157" s="1"/>
      <c r="V157" s="2" t="s">
        <v>944</v>
      </c>
    </row>
    <row r="158" spans="1:22" ht="15" hidden="1">
      <c r="A158" s="10">
        <v>158</v>
      </c>
      <c r="B158" s="30">
        <v>46054.743692129603</v>
      </c>
      <c r="C158" s="30">
        <v>46054.753865740699</v>
      </c>
      <c r="D158" s="12" t="s">
        <v>22</v>
      </c>
      <c r="E158" s="3"/>
      <c r="F158" s="12" t="s">
        <v>39</v>
      </c>
      <c r="G158" s="11">
        <v>46054</v>
      </c>
      <c r="H158" s="13" t="s">
        <v>945</v>
      </c>
      <c r="I158" s="12" t="s">
        <v>946</v>
      </c>
      <c r="J158" s="13" t="s">
        <v>947</v>
      </c>
      <c r="K158" s="4" t="s">
        <v>908</v>
      </c>
      <c r="L158" s="2" t="s">
        <v>603</v>
      </c>
      <c r="M158" s="3" t="s">
        <v>948</v>
      </c>
      <c r="N158" s="2" t="s">
        <v>949</v>
      </c>
      <c r="O158" s="2" t="s">
        <v>188</v>
      </c>
      <c r="P158" s="2" t="s">
        <v>950</v>
      </c>
      <c r="Q158" t="s">
        <v>214</v>
      </c>
      <c r="R158" s="2"/>
      <c r="S158" s="1"/>
      <c r="T158" s="1"/>
    </row>
    <row r="159" spans="1:22" ht="15" hidden="1">
      <c r="A159" s="10">
        <v>159</v>
      </c>
      <c r="B159" s="30">
        <v>46055.581979166702</v>
      </c>
      <c r="C159" s="30">
        <v>46055.592615740701</v>
      </c>
      <c r="D159" s="12" t="s">
        <v>22</v>
      </c>
      <c r="E159" s="3"/>
      <c r="F159" s="12" t="s">
        <v>39</v>
      </c>
      <c r="G159" s="11">
        <v>46054</v>
      </c>
      <c r="H159" s="13" t="s">
        <v>951</v>
      </c>
      <c r="I159" s="12" t="s">
        <v>952</v>
      </c>
      <c r="J159" s="13" t="s">
        <v>953</v>
      </c>
      <c r="K159" s="4" t="s">
        <v>908</v>
      </c>
      <c r="L159" s="2" t="s">
        <v>603</v>
      </c>
      <c r="M159" s="3" t="s">
        <v>954</v>
      </c>
      <c r="N159" s="2" t="s">
        <v>955</v>
      </c>
      <c r="O159" s="2" t="s">
        <v>188</v>
      </c>
      <c r="P159" s="2" t="s">
        <v>956</v>
      </c>
      <c r="Q159" t="s">
        <v>214</v>
      </c>
      <c r="R159" s="2"/>
      <c r="S159" s="1"/>
      <c r="T159" s="1"/>
    </row>
    <row r="160" spans="1:22" ht="15" hidden="1">
      <c r="A160" s="10">
        <v>160</v>
      </c>
      <c r="B160" s="30">
        <v>46059.905092592599</v>
      </c>
      <c r="C160" s="30">
        <v>46059.915520833303</v>
      </c>
      <c r="D160" s="12" t="s">
        <v>22</v>
      </c>
      <c r="E160" s="3"/>
      <c r="F160" s="12" t="s">
        <v>39</v>
      </c>
      <c r="G160" s="11">
        <v>46058</v>
      </c>
      <c r="H160" s="13" t="s">
        <v>957</v>
      </c>
      <c r="I160" s="12" t="s">
        <v>958</v>
      </c>
      <c r="J160" s="13" t="s">
        <v>959</v>
      </c>
      <c r="K160" s="4" t="s">
        <v>235</v>
      </c>
      <c r="L160" s="2" t="s">
        <v>580</v>
      </c>
      <c r="M160" s="3" t="s">
        <v>960</v>
      </c>
      <c r="N160" s="2" t="s">
        <v>961</v>
      </c>
      <c r="O160" s="2" t="s">
        <v>188</v>
      </c>
      <c r="P160" s="2" t="s">
        <v>962</v>
      </c>
      <c r="Q160" t="s">
        <v>214</v>
      </c>
      <c r="R160" s="2"/>
      <c r="S160" s="1"/>
      <c r="T160" s="1"/>
    </row>
    <row r="161" spans="1:22" ht="15" hidden="1">
      <c r="A161" s="10">
        <v>161</v>
      </c>
      <c r="B161" s="30">
        <v>46061.893275463</v>
      </c>
      <c r="C161" s="30">
        <v>46061.898055555597</v>
      </c>
      <c r="D161" s="12" t="s">
        <v>22</v>
      </c>
      <c r="E161" s="3"/>
      <c r="F161" s="12" t="s">
        <v>39</v>
      </c>
      <c r="G161" s="11">
        <v>46061</v>
      </c>
      <c r="H161" s="13" t="s">
        <v>963</v>
      </c>
      <c r="I161" s="12" t="s">
        <v>964</v>
      </c>
      <c r="J161" s="13" t="s">
        <v>965</v>
      </c>
      <c r="K161" s="4" t="s">
        <v>428</v>
      </c>
      <c r="L161" s="2" t="s">
        <v>576</v>
      </c>
      <c r="M161" s="3" t="s">
        <v>966</v>
      </c>
      <c r="N161" s="2" t="s">
        <v>967</v>
      </c>
      <c r="O161" s="2" t="s">
        <v>188</v>
      </c>
      <c r="P161" s="2" t="s">
        <v>968</v>
      </c>
      <c r="Q161" t="s">
        <v>214</v>
      </c>
      <c r="R161" s="2"/>
      <c r="S161" s="1"/>
      <c r="T161" s="1"/>
    </row>
    <row r="162" spans="1:22" ht="15" hidden="1">
      <c r="A162" s="10">
        <v>163</v>
      </c>
      <c r="B162" s="30">
        <v>46076.524432870399</v>
      </c>
      <c r="C162" s="30">
        <v>46076.527326388903</v>
      </c>
      <c r="D162" s="12" t="s">
        <v>22</v>
      </c>
      <c r="E162" s="3"/>
      <c r="F162" s="12" t="s">
        <v>39</v>
      </c>
      <c r="G162" s="11">
        <v>46065</v>
      </c>
      <c r="H162" s="13" t="s">
        <v>969</v>
      </c>
      <c r="I162" s="12" t="s">
        <v>970</v>
      </c>
      <c r="J162" s="13" t="s">
        <v>971</v>
      </c>
      <c r="K162" s="4" t="s">
        <v>271</v>
      </c>
      <c r="L162" s="2" t="s">
        <v>842</v>
      </c>
      <c r="M162" s="3" t="s">
        <v>972</v>
      </c>
      <c r="N162" s="2"/>
      <c r="O162" s="2" t="s">
        <v>668</v>
      </c>
      <c r="P162" s="2" t="s">
        <v>669</v>
      </c>
      <c r="Q162" t="s">
        <v>214</v>
      </c>
      <c r="R162" s="2"/>
      <c r="S162" s="1"/>
      <c r="T162" s="1"/>
    </row>
    <row r="163" spans="1:22" ht="15" hidden="1">
      <c r="A163" s="10">
        <v>164</v>
      </c>
      <c r="B163" s="30">
        <v>46076.614930555603</v>
      </c>
      <c r="C163" s="30">
        <v>46076.618530092601</v>
      </c>
      <c r="D163" s="12" t="s">
        <v>22</v>
      </c>
      <c r="E163" s="3"/>
      <c r="F163" s="12" t="s">
        <v>39</v>
      </c>
      <c r="G163" s="11">
        <v>46075</v>
      </c>
      <c r="H163" s="13" t="s">
        <v>973</v>
      </c>
      <c r="I163" s="12" t="s">
        <v>974</v>
      </c>
      <c r="J163" s="13" t="s">
        <v>975</v>
      </c>
      <c r="K163" s="4" t="s">
        <v>245</v>
      </c>
      <c r="L163" s="2" t="s">
        <v>580</v>
      </c>
      <c r="M163" s="3" t="s">
        <v>976</v>
      </c>
      <c r="N163" s="2" t="s">
        <v>977</v>
      </c>
      <c r="O163" s="2" t="s">
        <v>978</v>
      </c>
      <c r="P163" s="2" t="s">
        <v>979</v>
      </c>
      <c r="Q163" t="s">
        <v>214</v>
      </c>
      <c r="R163" s="2"/>
      <c r="S163" s="1"/>
      <c r="T163" s="1"/>
    </row>
    <row r="164" spans="1:22" ht="15" hidden="1">
      <c r="A164" s="10">
        <v>165</v>
      </c>
      <c r="B164" s="30">
        <v>46076.862638888902</v>
      </c>
      <c r="C164" s="30">
        <v>46076.864733796298</v>
      </c>
      <c r="D164" s="12" t="s">
        <v>22</v>
      </c>
      <c r="E164" s="3"/>
      <c r="F164" s="12" t="s">
        <v>39</v>
      </c>
      <c r="G164" s="11">
        <v>46073</v>
      </c>
      <c r="H164" s="13" t="s">
        <v>980</v>
      </c>
      <c r="I164" s="12" t="s">
        <v>981</v>
      </c>
      <c r="J164" s="13" t="s">
        <v>982</v>
      </c>
      <c r="K164" s="4" t="s">
        <v>271</v>
      </c>
      <c r="L164" s="2" t="s">
        <v>842</v>
      </c>
      <c r="M164" s="3" t="s">
        <v>983</v>
      </c>
      <c r="N164" s="2" t="s">
        <v>984</v>
      </c>
      <c r="O164" s="2" t="s">
        <v>985</v>
      </c>
      <c r="P164" s="2" t="s">
        <v>986</v>
      </c>
      <c r="Q164" t="s">
        <v>214</v>
      </c>
      <c r="R164" s="2"/>
      <c r="S164" s="1"/>
      <c r="T164" s="1"/>
    </row>
    <row r="165" spans="1:22" ht="15" hidden="1">
      <c r="A165" s="10">
        <v>167</v>
      </c>
      <c r="B165" s="30">
        <v>46080.612835648099</v>
      </c>
      <c r="C165" s="30">
        <v>46080.620601851901</v>
      </c>
      <c r="D165" s="12" t="s">
        <v>22</v>
      </c>
      <c r="E165" s="3"/>
      <c r="F165" s="12" t="s">
        <v>150</v>
      </c>
      <c r="G165" s="11">
        <v>46079</v>
      </c>
      <c r="H165" s="13" t="s">
        <v>987</v>
      </c>
      <c r="I165" s="12" t="s">
        <v>988</v>
      </c>
      <c r="J165" s="13" t="s">
        <v>42</v>
      </c>
      <c r="K165" s="4" t="s">
        <v>245</v>
      </c>
      <c r="L165" s="2" t="s">
        <v>580</v>
      </c>
      <c r="M165" s="3" t="s">
        <v>989</v>
      </c>
      <c r="N165" s="2" t="s">
        <v>990</v>
      </c>
      <c r="O165" s="2" t="s">
        <v>991</v>
      </c>
      <c r="P165" s="2" t="s">
        <v>992</v>
      </c>
      <c r="Q165" t="s">
        <v>214</v>
      </c>
      <c r="R165" s="2"/>
      <c r="S165" s="1"/>
      <c r="T165" s="1"/>
    </row>
    <row r="166" spans="1:22" hidden="1">
      <c r="A166" s="10">
        <v>168</v>
      </c>
      <c r="B166" s="30">
        <v>46082.728912036997</v>
      </c>
      <c r="C166" s="30">
        <v>46082.742800925902</v>
      </c>
      <c r="D166" s="12" t="s">
        <v>22</v>
      </c>
      <c r="E166" s="3"/>
      <c r="F166" s="12" t="s">
        <v>23</v>
      </c>
      <c r="G166" s="11">
        <v>46082</v>
      </c>
      <c r="H166" s="13" t="s">
        <v>993</v>
      </c>
      <c r="I166" s="12" t="s">
        <v>994</v>
      </c>
      <c r="J166" s="13" t="s">
        <v>995</v>
      </c>
      <c r="K166" s="4" t="s">
        <v>235</v>
      </c>
      <c r="L166" s="2" t="s">
        <v>996</v>
      </c>
      <c r="M166" s="3" t="s">
        <v>997</v>
      </c>
      <c r="N166" s="2" t="s">
        <v>998</v>
      </c>
      <c r="O166" s="2" t="s">
        <v>999</v>
      </c>
      <c r="P166" s="2" t="s">
        <v>1000</v>
      </c>
      <c r="Q166" t="s">
        <v>214</v>
      </c>
      <c r="R166" s="2"/>
      <c r="S166" s="1"/>
      <c r="T166" s="1"/>
    </row>
    <row r="167" spans="1:22" hidden="1">
      <c r="A167" s="10">
        <v>169</v>
      </c>
      <c r="B167" s="30">
        <v>46082.847939814797</v>
      </c>
      <c r="C167" s="30">
        <v>46082.853414351797</v>
      </c>
      <c r="D167" s="12" t="s">
        <v>22</v>
      </c>
      <c r="E167" s="3"/>
      <c r="F167" s="12" t="s">
        <v>39</v>
      </c>
      <c r="G167" s="11">
        <v>46081</v>
      </c>
      <c r="H167" s="13" t="s">
        <v>1001</v>
      </c>
      <c r="I167" s="12" t="s">
        <v>1002</v>
      </c>
      <c r="J167" s="13" t="s">
        <v>1003</v>
      </c>
      <c r="K167" s="4" t="s">
        <v>235</v>
      </c>
      <c r="L167" s="2" t="s">
        <v>580</v>
      </c>
      <c r="M167" s="3" t="s">
        <v>1004</v>
      </c>
      <c r="N167" s="2" t="s">
        <v>1005</v>
      </c>
      <c r="O167" s="2" t="s">
        <v>188</v>
      </c>
      <c r="P167" s="2" t="s">
        <v>1006</v>
      </c>
      <c r="Q167" t="s">
        <v>214</v>
      </c>
      <c r="R167" s="2"/>
      <c r="S167" s="1"/>
      <c r="T167" s="1"/>
    </row>
    <row r="168" spans="1:22" ht="15" hidden="1">
      <c r="A168" s="10">
        <v>170</v>
      </c>
      <c r="B168" s="30">
        <v>46089.585520833301</v>
      </c>
      <c r="C168" s="30">
        <v>46089.591307870403</v>
      </c>
      <c r="D168" s="12" t="s">
        <v>22</v>
      </c>
      <c r="E168" s="3"/>
      <c r="F168" s="12" t="s">
        <v>39</v>
      </c>
      <c r="G168" s="11">
        <v>46089</v>
      </c>
      <c r="H168" s="13" t="s">
        <v>1007</v>
      </c>
      <c r="I168" s="12" t="s">
        <v>1008</v>
      </c>
      <c r="J168" s="13" t="s">
        <v>1009</v>
      </c>
      <c r="K168" s="4" t="s">
        <v>271</v>
      </c>
      <c r="L168" s="2" t="s">
        <v>603</v>
      </c>
      <c r="M168" s="3" t="s">
        <v>1010</v>
      </c>
      <c r="N168" s="2" t="s">
        <v>1011</v>
      </c>
      <c r="O168" s="2" t="s">
        <v>188</v>
      </c>
      <c r="P168" s="2" t="s">
        <v>63</v>
      </c>
      <c r="Q168" t="s">
        <v>214</v>
      </c>
      <c r="R168" s="2"/>
      <c r="S168" s="1"/>
      <c r="T168" s="1"/>
    </row>
    <row r="169" spans="1:22" ht="15" hidden="1">
      <c r="A169" s="10">
        <v>171</v>
      </c>
      <c r="B169" s="30">
        <v>46089.669432870403</v>
      </c>
      <c r="C169" s="30">
        <v>46089.672060185199</v>
      </c>
      <c r="D169" s="12" t="s">
        <v>22</v>
      </c>
      <c r="E169" s="3"/>
      <c r="F169" s="12" t="s">
        <v>23</v>
      </c>
      <c r="G169" s="11">
        <v>46086</v>
      </c>
      <c r="H169" s="13" t="s">
        <v>1012</v>
      </c>
      <c r="I169" s="12" t="s">
        <v>308</v>
      </c>
      <c r="J169" s="13" t="s">
        <v>310</v>
      </c>
      <c r="K169" s="4" t="s">
        <v>218</v>
      </c>
      <c r="L169" s="2" t="s">
        <v>580</v>
      </c>
      <c r="M169" s="3" t="s">
        <v>1013</v>
      </c>
      <c r="N169" s="2" t="s">
        <v>1014</v>
      </c>
      <c r="O169" s="2" t="s">
        <v>313</v>
      </c>
      <c r="P169" s="2" t="s">
        <v>308</v>
      </c>
      <c r="Q169" t="s">
        <v>214</v>
      </c>
      <c r="R169" s="2"/>
      <c r="S169" s="1"/>
      <c r="T169" s="1"/>
    </row>
    <row r="170" spans="1:22" hidden="1">
      <c r="A170" s="10">
        <v>172</v>
      </c>
      <c r="B170" s="30">
        <v>46089.670416666697</v>
      </c>
      <c r="C170" s="30">
        <v>46089.674756944398</v>
      </c>
      <c r="D170" s="12" t="s">
        <v>22</v>
      </c>
      <c r="E170" s="3"/>
      <c r="F170" s="12" t="s">
        <v>23</v>
      </c>
      <c r="G170" s="11">
        <v>46089</v>
      </c>
      <c r="H170" s="13" t="s">
        <v>1015</v>
      </c>
      <c r="I170" s="13" t="s">
        <v>42</v>
      </c>
      <c r="J170" s="13" t="s">
        <v>42</v>
      </c>
      <c r="K170" s="4" t="s">
        <v>218</v>
      </c>
      <c r="L170" s="2" t="s">
        <v>580</v>
      </c>
      <c r="M170" s="3" t="s">
        <v>1016</v>
      </c>
      <c r="N170" s="2" t="s">
        <v>1017</v>
      </c>
      <c r="O170" s="2" t="s">
        <v>42</v>
      </c>
      <c r="P170" s="2" t="s">
        <v>476</v>
      </c>
      <c r="Q170" t="s">
        <v>214</v>
      </c>
      <c r="R170" s="2"/>
      <c r="S170" s="1"/>
      <c r="T170" s="1"/>
    </row>
    <row r="171" spans="1:22" hidden="1">
      <c r="A171" s="10">
        <v>173</v>
      </c>
      <c r="B171" s="30">
        <v>46089.893379629597</v>
      </c>
      <c r="C171" s="30">
        <v>46089.895451388897</v>
      </c>
      <c r="D171" s="12" t="s">
        <v>22</v>
      </c>
      <c r="E171" s="3"/>
      <c r="F171" s="12" t="s">
        <v>150</v>
      </c>
      <c r="G171" s="11">
        <v>46086</v>
      </c>
      <c r="H171" s="13" t="s">
        <v>1018</v>
      </c>
      <c r="I171" s="12" t="s">
        <v>452</v>
      </c>
      <c r="J171" s="13" t="s">
        <v>153</v>
      </c>
      <c r="K171" s="4" t="s">
        <v>235</v>
      </c>
      <c r="L171" s="2" t="s">
        <v>715</v>
      </c>
      <c r="M171" s="3" t="s">
        <v>1019</v>
      </c>
      <c r="N171" s="2"/>
      <c r="O171" s="2" t="s">
        <v>155</v>
      </c>
      <c r="P171" s="2" t="s">
        <v>1020</v>
      </c>
      <c r="Q171" t="s">
        <v>204</v>
      </c>
      <c r="R171" s="2" t="s">
        <v>1021</v>
      </c>
      <c r="S171" s="1">
        <v>46086</v>
      </c>
      <c r="T171" s="1" t="s">
        <v>240</v>
      </c>
      <c r="U171" t="s">
        <v>277</v>
      </c>
      <c r="V171" t="s">
        <v>1022</v>
      </c>
    </row>
    <row r="172" spans="1:22" ht="15" hidden="1">
      <c r="A172" s="10">
        <v>174</v>
      </c>
      <c r="B172" s="30">
        <v>46091.551550925898</v>
      </c>
      <c r="C172" s="30">
        <v>46091.554259259297</v>
      </c>
      <c r="D172" s="12" t="s">
        <v>22</v>
      </c>
      <c r="E172" s="3"/>
      <c r="F172" s="12" t="s">
        <v>23</v>
      </c>
      <c r="G172" s="11">
        <v>46083</v>
      </c>
      <c r="H172" s="13" t="s">
        <v>1023</v>
      </c>
      <c r="I172" s="12" t="s">
        <v>1024</v>
      </c>
      <c r="J172" s="13" t="s">
        <v>310</v>
      </c>
      <c r="K172" s="4" t="s">
        <v>218</v>
      </c>
      <c r="L172" s="2" t="s">
        <v>662</v>
      </c>
      <c r="M172" s="3" t="s">
        <v>1025</v>
      </c>
      <c r="N172" s="2" t="s">
        <v>1026</v>
      </c>
      <c r="O172" s="2" t="s">
        <v>313</v>
      </c>
      <c r="P172" s="2" t="s">
        <v>308</v>
      </c>
      <c r="Q172" t="s">
        <v>204</v>
      </c>
      <c r="R172" s="2" t="s">
        <v>1027</v>
      </c>
      <c r="S172" s="1">
        <v>46083</v>
      </c>
      <c r="T172" s="1" t="s">
        <v>240</v>
      </c>
      <c r="U172" t="s">
        <v>277</v>
      </c>
      <c r="V172" t="s">
        <v>1028</v>
      </c>
    </row>
    <row r="173" spans="1:22" ht="15" hidden="1">
      <c r="A173" s="10">
        <v>175</v>
      </c>
      <c r="B173" s="30">
        <v>46095.827499999999</v>
      </c>
      <c r="C173" s="30">
        <v>46095.831851851799</v>
      </c>
      <c r="D173" s="12" t="s">
        <v>22</v>
      </c>
      <c r="E173" s="3"/>
      <c r="F173" s="12" t="s">
        <v>23</v>
      </c>
      <c r="G173" s="11">
        <v>46095</v>
      </c>
      <c r="H173" s="13" t="s">
        <v>1029</v>
      </c>
      <c r="I173" s="12" t="s">
        <v>1030</v>
      </c>
      <c r="J173" s="13" t="s">
        <v>1031</v>
      </c>
      <c r="K173" s="4" t="s">
        <v>235</v>
      </c>
      <c r="L173" s="2" t="s">
        <v>715</v>
      </c>
      <c r="M173" s="3" t="s">
        <v>1032</v>
      </c>
      <c r="N173" s="2" t="s">
        <v>1033</v>
      </c>
      <c r="O173" s="2" t="s">
        <v>999</v>
      </c>
      <c r="P173" s="2" t="s">
        <v>1030</v>
      </c>
      <c r="Q173" t="s">
        <v>214</v>
      </c>
      <c r="R173" s="2"/>
      <c r="S173" s="1"/>
      <c r="T173" s="1"/>
    </row>
    <row r="174" spans="1:22" ht="15" hidden="1">
      <c r="A174" s="10">
        <v>176</v>
      </c>
      <c r="B174" s="30">
        <v>46098.7398958333</v>
      </c>
      <c r="C174" s="30">
        <v>46098.7445717593</v>
      </c>
      <c r="D174" s="12" t="s">
        <v>22</v>
      </c>
      <c r="E174" s="3"/>
      <c r="F174" s="12" t="s">
        <v>39</v>
      </c>
      <c r="G174" s="11">
        <v>46098</v>
      </c>
      <c r="H174" s="13" t="s">
        <v>1034</v>
      </c>
      <c r="I174" s="12" t="s">
        <v>1035</v>
      </c>
      <c r="J174" s="13" t="s">
        <v>1036</v>
      </c>
      <c r="K174" s="4" t="s">
        <v>245</v>
      </c>
      <c r="L174" s="2" t="s">
        <v>580</v>
      </c>
      <c r="M174" s="3" t="s">
        <v>1037</v>
      </c>
      <c r="N174" s="2" t="s">
        <v>1038</v>
      </c>
      <c r="O174" s="2" t="s">
        <v>771</v>
      </c>
      <c r="P174" s="2" t="s">
        <v>1039</v>
      </c>
      <c r="Q174" t="s">
        <v>214</v>
      </c>
      <c r="R174" s="2"/>
      <c r="S174" s="1"/>
      <c r="T174" s="1"/>
    </row>
    <row r="175" spans="1:22" ht="15" hidden="1">
      <c r="A175" s="10">
        <v>177</v>
      </c>
      <c r="B175" s="30">
        <v>46098.759270833303</v>
      </c>
      <c r="C175" s="30">
        <v>46098.761458333298</v>
      </c>
      <c r="D175" s="12" t="s">
        <v>22</v>
      </c>
      <c r="E175" s="3"/>
      <c r="F175" s="12" t="s">
        <v>39</v>
      </c>
      <c r="G175" s="11">
        <v>46096</v>
      </c>
      <c r="H175" s="13" t="s">
        <v>1040</v>
      </c>
      <c r="I175" s="12" t="s">
        <v>1041</v>
      </c>
      <c r="J175" s="13" t="s">
        <v>1042</v>
      </c>
      <c r="K175" s="4" t="s">
        <v>282</v>
      </c>
      <c r="L175" s="2" t="s">
        <v>580</v>
      </c>
      <c r="M175" s="3" t="s">
        <v>1043</v>
      </c>
      <c r="N175" s="2" t="s">
        <v>1044</v>
      </c>
      <c r="O175" s="2" t="s">
        <v>188</v>
      </c>
      <c r="P175" s="2" t="s">
        <v>1045</v>
      </c>
      <c r="Q175" t="s">
        <v>214</v>
      </c>
      <c r="R175" s="2"/>
      <c r="S175" s="1"/>
      <c r="T175" s="1"/>
    </row>
    <row r="176" spans="1:22" ht="15" hidden="1">
      <c r="A176" s="10">
        <v>178</v>
      </c>
      <c r="B176" s="30">
        <v>46098.908217592601</v>
      </c>
      <c r="C176" s="30">
        <v>46098.910821759302</v>
      </c>
      <c r="D176" s="12" t="s">
        <v>22</v>
      </c>
      <c r="E176" s="3"/>
      <c r="F176" s="12" t="s">
        <v>150</v>
      </c>
      <c r="G176" s="11">
        <v>46098</v>
      </c>
      <c r="H176" s="13" t="s">
        <v>1046</v>
      </c>
      <c r="I176" s="12" t="s">
        <v>452</v>
      </c>
      <c r="J176" s="13" t="s">
        <v>153</v>
      </c>
      <c r="K176" s="4" t="s">
        <v>235</v>
      </c>
      <c r="L176" s="2" t="s">
        <v>710</v>
      </c>
      <c r="M176" s="3" t="s">
        <v>1047</v>
      </c>
      <c r="N176" s="2"/>
      <c r="O176" s="2" t="s">
        <v>155</v>
      </c>
      <c r="P176" s="2" t="s">
        <v>1048</v>
      </c>
      <c r="Q176" t="s">
        <v>204</v>
      </c>
      <c r="R176" s="2" t="s">
        <v>1049</v>
      </c>
      <c r="S176" s="1">
        <v>46097</v>
      </c>
      <c r="T176" s="1" t="s">
        <v>276</v>
      </c>
      <c r="U176" t="s">
        <v>423</v>
      </c>
      <c r="V176" t="s">
        <v>1050</v>
      </c>
    </row>
    <row r="177" spans="1:22" ht="15" hidden="1">
      <c r="A177" s="10">
        <v>179</v>
      </c>
      <c r="B177" s="30">
        <v>46103.714016203703</v>
      </c>
      <c r="C177" s="30">
        <v>46103.716956018499</v>
      </c>
      <c r="D177" s="12" t="s">
        <v>22</v>
      </c>
      <c r="E177" s="3"/>
      <c r="F177" s="12" t="s">
        <v>150</v>
      </c>
      <c r="G177" s="11">
        <v>46103</v>
      </c>
      <c r="H177" s="13" t="s">
        <v>1051</v>
      </c>
      <c r="I177" s="12" t="s">
        <v>1052</v>
      </c>
      <c r="J177" s="13" t="s">
        <v>153</v>
      </c>
      <c r="K177" s="4" t="s">
        <v>218</v>
      </c>
      <c r="L177" s="2" t="s">
        <v>662</v>
      </c>
      <c r="M177" s="3" t="s">
        <v>1053</v>
      </c>
      <c r="N177" s="2" t="s">
        <v>1054</v>
      </c>
      <c r="O177" s="2" t="s">
        <v>155</v>
      </c>
      <c r="P177" s="2" t="s">
        <v>1055</v>
      </c>
      <c r="Q177" t="s">
        <v>214</v>
      </c>
      <c r="R177" s="2"/>
      <c r="S177" s="1"/>
      <c r="T177" s="1"/>
    </row>
    <row r="178" spans="1:22" ht="15" hidden="1">
      <c r="A178" s="10">
        <v>180</v>
      </c>
      <c r="B178" s="30">
        <v>46104.5880555556</v>
      </c>
      <c r="C178" s="30">
        <v>46104.598055555602</v>
      </c>
      <c r="D178" s="12" t="s">
        <v>22</v>
      </c>
      <c r="E178" s="3"/>
      <c r="F178" s="12" t="s">
        <v>39</v>
      </c>
      <c r="G178" s="11">
        <v>46103</v>
      </c>
      <c r="H178" s="13" t="s">
        <v>1056</v>
      </c>
      <c r="I178" s="12" t="s">
        <v>1057</v>
      </c>
      <c r="J178" s="13" t="s">
        <v>1058</v>
      </c>
      <c r="K178" s="4" t="s">
        <v>218</v>
      </c>
      <c r="L178" s="2" t="s">
        <v>576</v>
      </c>
      <c r="M178" s="3" t="s">
        <v>1059</v>
      </c>
      <c r="N178" s="2" t="s">
        <v>1060</v>
      </c>
      <c r="O178" s="2" t="s">
        <v>63</v>
      </c>
      <c r="P178" s="2" t="s">
        <v>63</v>
      </c>
      <c r="Q178" t="s">
        <v>214</v>
      </c>
      <c r="R178" s="2"/>
      <c r="S178" s="1"/>
      <c r="T178" s="1"/>
    </row>
    <row r="179" spans="1:22" ht="15" hidden="1">
      <c r="A179" s="10">
        <v>181</v>
      </c>
      <c r="B179" s="30">
        <v>46106.442233796297</v>
      </c>
      <c r="C179" s="30">
        <v>46106.445127314801</v>
      </c>
      <c r="D179" s="12" t="s">
        <v>22</v>
      </c>
      <c r="E179" s="3"/>
      <c r="F179" s="12" t="s">
        <v>39</v>
      </c>
      <c r="G179" s="11">
        <v>46106</v>
      </c>
      <c r="H179" s="13" t="s">
        <v>1061</v>
      </c>
      <c r="I179" s="12" t="s">
        <v>1062</v>
      </c>
      <c r="J179" s="13" t="s">
        <v>1063</v>
      </c>
      <c r="K179" s="4" t="s">
        <v>245</v>
      </c>
      <c r="L179" s="2" t="s">
        <v>580</v>
      </c>
      <c r="M179" s="3" t="s">
        <v>1064</v>
      </c>
      <c r="N179" s="2" t="s">
        <v>1065</v>
      </c>
      <c r="O179" s="2" t="s">
        <v>978</v>
      </c>
      <c r="P179" s="2" t="s">
        <v>1066</v>
      </c>
      <c r="Q179" t="s">
        <v>214</v>
      </c>
      <c r="R179" s="2"/>
      <c r="S179" s="1"/>
      <c r="T179" s="1"/>
    </row>
    <row r="180" spans="1:22" ht="15" hidden="1">
      <c r="A180" s="10">
        <v>182</v>
      </c>
      <c r="B180" s="30">
        <v>46112.810462963003</v>
      </c>
      <c r="C180" s="30">
        <v>46112.813009259298</v>
      </c>
      <c r="D180" s="12" t="s">
        <v>22</v>
      </c>
      <c r="E180" s="3"/>
      <c r="F180" s="12" t="s">
        <v>150</v>
      </c>
      <c r="G180" s="11">
        <v>46110</v>
      </c>
      <c r="H180" s="13" t="s">
        <v>1067</v>
      </c>
      <c r="I180" s="12" t="s">
        <v>193</v>
      </c>
      <c r="J180" s="13" t="s">
        <v>153</v>
      </c>
      <c r="K180" s="4" t="s">
        <v>235</v>
      </c>
      <c r="L180" s="2" t="s">
        <v>710</v>
      </c>
      <c r="M180" s="3" t="s">
        <v>1068</v>
      </c>
      <c r="N180" s="2" t="s">
        <v>1069</v>
      </c>
      <c r="O180" s="2" t="s">
        <v>155</v>
      </c>
      <c r="P180" s="2" t="s">
        <v>1070</v>
      </c>
      <c r="Q180" t="s">
        <v>204</v>
      </c>
      <c r="R180" s="2" t="s">
        <v>1071</v>
      </c>
      <c r="S180" s="1">
        <v>46110</v>
      </c>
      <c r="T180" s="1" t="s">
        <v>240</v>
      </c>
      <c r="U180" t="s">
        <v>423</v>
      </c>
      <c r="V180" t="s">
        <v>1072</v>
      </c>
    </row>
    <row r="181" spans="1:22" ht="15" hidden="1">
      <c r="A181" s="10">
        <v>183</v>
      </c>
      <c r="B181" s="30">
        <v>46118.583784722199</v>
      </c>
      <c r="C181" s="30">
        <v>46118.595891203702</v>
      </c>
      <c r="D181" s="12" t="s">
        <v>22</v>
      </c>
      <c r="E181" s="3"/>
      <c r="F181" s="12" t="s">
        <v>150</v>
      </c>
      <c r="G181" s="11">
        <v>46118</v>
      </c>
      <c r="H181" s="13" t="s">
        <v>1073</v>
      </c>
      <c r="I181" s="12" t="s">
        <v>1074</v>
      </c>
      <c r="J181" s="13" t="s">
        <v>1075</v>
      </c>
      <c r="K181" s="4" t="s">
        <v>218</v>
      </c>
      <c r="L181" s="2" t="s">
        <v>576</v>
      </c>
      <c r="M181" s="3" t="s">
        <v>1076</v>
      </c>
      <c r="N181" s="2" t="s">
        <v>1077</v>
      </c>
      <c r="O181" s="2" t="s">
        <v>382</v>
      </c>
      <c r="P181" s="2" t="s">
        <v>1078</v>
      </c>
      <c r="Q181" t="s">
        <v>214</v>
      </c>
      <c r="R181" s="2"/>
      <c r="S181" s="1"/>
      <c r="T181" s="1"/>
    </row>
    <row r="182" spans="1:22" ht="15" hidden="1">
      <c r="A182" s="10">
        <v>184</v>
      </c>
      <c r="B182" s="30">
        <v>46119.635532407403</v>
      </c>
      <c r="C182" s="30">
        <v>46119.654212963003</v>
      </c>
      <c r="D182" s="12" t="s">
        <v>22</v>
      </c>
      <c r="E182" s="3"/>
      <c r="F182" s="12" t="s">
        <v>150</v>
      </c>
      <c r="G182" s="11">
        <v>46119</v>
      </c>
      <c r="H182" s="13" t="s">
        <v>1079</v>
      </c>
      <c r="I182" s="12" t="s">
        <v>1080</v>
      </c>
      <c r="J182" s="13" t="s">
        <v>1081</v>
      </c>
      <c r="K182" s="4" t="s">
        <v>218</v>
      </c>
      <c r="L182" s="2" t="s">
        <v>808</v>
      </c>
      <c r="M182" s="3" t="s">
        <v>1082</v>
      </c>
      <c r="N182" s="2"/>
      <c r="O182" s="2" t="s">
        <v>155</v>
      </c>
      <c r="P182" s="2" t="s">
        <v>155</v>
      </c>
      <c r="Q182" t="s">
        <v>214</v>
      </c>
      <c r="R182" s="2"/>
      <c r="S182" s="1"/>
      <c r="T182" s="1"/>
    </row>
    <row r="183" spans="1:22">
      <c r="A183" s="10">
        <v>185</v>
      </c>
      <c r="B183" s="30">
        <v>46120.657002314802</v>
      </c>
      <c r="C183" s="30">
        <v>46120.661018518498</v>
      </c>
      <c r="D183" s="12" t="s">
        <v>22</v>
      </c>
      <c r="E183" s="3"/>
      <c r="F183" s="12" t="s">
        <v>39</v>
      </c>
      <c r="G183" s="11">
        <v>46120</v>
      </c>
      <c r="H183" s="13" t="s">
        <v>1083</v>
      </c>
      <c r="I183" s="12" t="s">
        <v>1084</v>
      </c>
      <c r="J183" s="13" t="s">
        <v>1085</v>
      </c>
      <c r="K183" s="4" t="s">
        <v>271</v>
      </c>
      <c r="L183" s="2" t="s">
        <v>587</v>
      </c>
      <c r="M183" s="3" t="s">
        <v>1086</v>
      </c>
      <c r="N183" s="2" t="s">
        <v>1087</v>
      </c>
      <c r="O183" s="2" t="s">
        <v>188</v>
      </c>
      <c r="P183" s="2" t="s">
        <v>63</v>
      </c>
      <c r="Q183" t="s">
        <v>214</v>
      </c>
      <c r="R183" s="2"/>
      <c r="S183" s="1"/>
      <c r="T183" s="1"/>
    </row>
    <row r="184" spans="1:22" ht="15">
      <c r="A184" s="10">
        <v>186</v>
      </c>
      <c r="B184" s="30">
        <v>46120.666215277801</v>
      </c>
      <c r="C184" s="30">
        <v>46120.6749305556</v>
      </c>
      <c r="D184" s="12" t="s">
        <v>22</v>
      </c>
      <c r="E184" s="3"/>
      <c r="F184" s="12" t="s">
        <v>39</v>
      </c>
      <c r="G184" s="11">
        <v>46115</v>
      </c>
      <c r="H184" s="13" t="s">
        <v>1088</v>
      </c>
      <c r="I184" s="12" t="s">
        <v>1089</v>
      </c>
      <c r="J184" s="13" t="s">
        <v>1090</v>
      </c>
      <c r="K184" s="4" t="s">
        <v>235</v>
      </c>
      <c r="L184" s="2" t="s">
        <v>607</v>
      </c>
      <c r="M184" s="3" t="s">
        <v>1091</v>
      </c>
      <c r="N184" s="2" t="s">
        <v>1092</v>
      </c>
      <c r="O184" s="2" t="s">
        <v>188</v>
      </c>
      <c r="P184" s="2" t="s">
        <v>63</v>
      </c>
      <c r="Q184" t="s">
        <v>214</v>
      </c>
      <c r="R184" s="2"/>
      <c r="S184" s="1"/>
      <c r="T184" s="1"/>
    </row>
    <row r="185" spans="1:22" ht="15">
      <c r="A185" s="10">
        <v>187</v>
      </c>
      <c r="B185" s="30">
        <v>46120.683877314797</v>
      </c>
      <c r="C185" s="30">
        <v>46120.689247685201</v>
      </c>
      <c r="D185" s="12" t="s">
        <v>22</v>
      </c>
      <c r="E185" s="3"/>
      <c r="F185" s="12" t="s">
        <v>39</v>
      </c>
      <c r="G185" s="11">
        <v>46119</v>
      </c>
      <c r="H185" s="13" t="s">
        <v>1093</v>
      </c>
      <c r="I185" s="12" t="s">
        <v>1094</v>
      </c>
      <c r="J185" s="13" t="s">
        <v>1095</v>
      </c>
      <c r="K185" s="4" t="s">
        <v>235</v>
      </c>
      <c r="L185" s="2" t="s">
        <v>587</v>
      </c>
      <c r="M185" s="3" t="s">
        <v>1096</v>
      </c>
      <c r="N185" s="2" t="s">
        <v>1097</v>
      </c>
      <c r="O185" s="2" t="s">
        <v>188</v>
      </c>
      <c r="P185" s="2" t="s">
        <v>1098</v>
      </c>
      <c r="Q185" t="s">
        <v>214</v>
      </c>
      <c r="R185" s="2"/>
      <c r="S185" s="1"/>
      <c r="T185" s="1"/>
    </row>
    <row r="186" spans="1:22" ht="15" hidden="1">
      <c r="A186" s="10">
        <v>188</v>
      </c>
      <c r="B186" s="30">
        <v>46121.368726851899</v>
      </c>
      <c r="C186" s="30">
        <v>46121.371226851901</v>
      </c>
      <c r="D186" s="12" t="s">
        <v>22</v>
      </c>
      <c r="E186" s="3"/>
      <c r="F186" s="12" t="s">
        <v>31</v>
      </c>
      <c r="G186" s="11">
        <v>46110</v>
      </c>
      <c r="H186" s="13" t="s">
        <v>1099</v>
      </c>
      <c r="I186" s="12" t="s">
        <v>505</v>
      </c>
      <c r="J186" s="13" t="s">
        <v>506</v>
      </c>
      <c r="K186" s="4" t="s">
        <v>225</v>
      </c>
      <c r="L186" s="2" t="s">
        <v>587</v>
      </c>
      <c r="M186" s="3" t="s">
        <v>1100</v>
      </c>
      <c r="N186" s="2" t="s">
        <v>1101</v>
      </c>
      <c r="O186" s="2" t="s">
        <v>495</v>
      </c>
      <c r="P186" s="2" t="s">
        <v>1102</v>
      </c>
      <c r="Q186" t="s">
        <v>214</v>
      </c>
      <c r="R186" s="2"/>
      <c r="S186" s="1"/>
      <c r="T186" s="1"/>
    </row>
    <row r="187" spans="1:22" ht="15">
      <c r="A187" s="10">
        <v>189</v>
      </c>
      <c r="B187" s="30">
        <v>46122.668761574103</v>
      </c>
      <c r="C187" s="30">
        <v>46122.6717824074</v>
      </c>
      <c r="D187" s="12" t="s">
        <v>22</v>
      </c>
      <c r="E187" s="3"/>
      <c r="F187" s="12" t="s">
        <v>39</v>
      </c>
      <c r="G187" s="11">
        <v>46122</v>
      </c>
      <c r="H187" s="13" t="s">
        <v>1103</v>
      </c>
      <c r="I187" s="12" t="s">
        <v>1104</v>
      </c>
      <c r="J187" s="13" t="s">
        <v>1105</v>
      </c>
      <c r="K187" s="4" t="s">
        <v>218</v>
      </c>
      <c r="L187" s="2" t="s">
        <v>603</v>
      </c>
      <c r="M187" s="3" t="s">
        <v>1106</v>
      </c>
      <c r="N187" s="2" t="s">
        <v>1107</v>
      </c>
      <c r="O187" s="2" t="s">
        <v>188</v>
      </c>
      <c r="P187" s="2" t="s">
        <v>63</v>
      </c>
      <c r="Q187" t="s">
        <v>214</v>
      </c>
      <c r="R187" s="2"/>
      <c r="S187" s="1"/>
      <c r="T187" s="1"/>
    </row>
    <row r="188" spans="1:22" ht="15" hidden="1">
      <c r="A188" s="10">
        <v>190</v>
      </c>
      <c r="B188" s="30">
        <v>46129.628101851798</v>
      </c>
      <c r="C188" s="30">
        <v>46129.6321412037</v>
      </c>
      <c r="D188" s="12" t="s">
        <v>22</v>
      </c>
      <c r="E188" s="3"/>
      <c r="F188" s="12" t="s">
        <v>23</v>
      </c>
      <c r="G188" s="11">
        <v>46127</v>
      </c>
      <c r="H188" s="13" t="s">
        <v>1108</v>
      </c>
      <c r="I188" s="12" t="s">
        <v>1109</v>
      </c>
      <c r="J188" s="13" t="s">
        <v>1110</v>
      </c>
      <c r="K188" s="4" t="s">
        <v>225</v>
      </c>
      <c r="L188" s="2" t="s">
        <v>587</v>
      </c>
      <c r="M188" s="3" t="s">
        <v>1111</v>
      </c>
      <c r="N188" s="2" t="s">
        <v>1112</v>
      </c>
      <c r="O188" s="2" t="s">
        <v>29</v>
      </c>
      <c r="P188" s="2" t="s">
        <v>42</v>
      </c>
      <c r="Q188" t="s">
        <v>214</v>
      </c>
      <c r="R188" s="2"/>
      <c r="S188" s="1"/>
      <c r="T188" s="1"/>
    </row>
    <row r="189" spans="1:22" ht="15">
      <c r="A189" s="10">
        <v>191</v>
      </c>
      <c r="B189" s="30">
        <v>46130.658148148097</v>
      </c>
      <c r="C189" s="30">
        <v>46130.662106481497</v>
      </c>
      <c r="D189" s="12" t="s">
        <v>22</v>
      </c>
      <c r="E189" s="3"/>
      <c r="F189" s="12" t="s">
        <v>39</v>
      </c>
      <c r="G189" s="11">
        <v>46130</v>
      </c>
      <c r="H189" s="13" t="s">
        <v>1113</v>
      </c>
      <c r="I189" s="12" t="s">
        <v>1114</v>
      </c>
      <c r="J189" s="13" t="s">
        <v>1115</v>
      </c>
      <c r="K189" s="4" t="s">
        <v>1116</v>
      </c>
      <c r="L189" s="2" t="s">
        <v>587</v>
      </c>
      <c r="M189" s="3" t="s">
        <v>1117</v>
      </c>
      <c r="N189" s="2" t="s">
        <v>1118</v>
      </c>
      <c r="O189" s="2" t="s">
        <v>188</v>
      </c>
      <c r="P189" s="2" t="s">
        <v>1119</v>
      </c>
      <c r="Q189" t="s">
        <v>214</v>
      </c>
      <c r="R189" s="2"/>
      <c r="S189" s="1"/>
      <c r="T189" s="1"/>
    </row>
    <row r="190" spans="1:22" ht="15"/>
    <row r="191" spans="1:22" ht="15">
      <c r="M191" s="3" t="s">
        <v>1120</v>
      </c>
    </row>
  </sheetData>
  <hyperlinks>
    <hyperlink ref="R61" r:id="rId1" display="21250017440" xr:uid="{D797594A-BB5A-4FE0-86E1-4FA9566DC252}"/>
  </hyperlinks>
  <pageMargins left="0.7" right="0.7" top="0.75" bottom="0.75" header="0.3" footer="0.3"/>
  <pageSetup paperSize="9" fitToWidth="0" fitToHeight="0"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748A-1C18-460D-901A-3A58882931EE}">
  <sheetPr>
    <tabColor rgb="FFFFFF00"/>
    <pageSetUpPr fitToPage="1"/>
  </sheetPr>
  <dimension ref="A1:AD137"/>
  <sheetViews>
    <sheetView topLeftCell="G1" workbookViewId="0">
      <selection activeCell="A129" sqref="A129"/>
    </sheetView>
  </sheetViews>
  <sheetFormatPr defaultColWidth="21.85546875" defaultRowHeight="28.5" customHeight="1"/>
  <cols>
    <col min="1" max="1" width="10.7109375" style="19" customWidth="1"/>
    <col min="2" max="3" width="21.85546875" style="18"/>
    <col min="4" max="5" width="21.85546875" style="19"/>
    <col min="6" max="6" width="22" style="19" customWidth="1"/>
    <col min="7" max="7" width="21.85546875" style="19"/>
    <col min="8" max="8" width="28" style="19" customWidth="1"/>
    <col min="9" max="9" width="30.28515625" style="19" customWidth="1"/>
    <col min="10" max="10" width="14" style="19" customWidth="1"/>
    <col min="11" max="11" width="19.85546875" style="19" customWidth="1"/>
    <col min="12" max="12" width="40.85546875" style="19" customWidth="1"/>
    <col min="13" max="13" width="137.85546875" style="19" customWidth="1"/>
    <col min="14" max="14" width="70.140625" style="19" customWidth="1"/>
    <col min="15" max="15" width="15.7109375" style="19" customWidth="1"/>
    <col min="16" max="16" width="22.42578125" style="19" customWidth="1"/>
    <col min="17" max="17" width="9.5703125" style="19" customWidth="1"/>
    <col min="18" max="18" width="21.85546875" style="19" customWidth="1"/>
    <col min="19" max="19" width="2.7109375" style="18" customWidth="1"/>
    <col min="20" max="20" width="44.42578125" style="19" hidden="1" customWidth="1"/>
    <col min="21" max="21" width="3.7109375" style="19" customWidth="1"/>
    <col min="22" max="22" width="25.5703125" style="19" customWidth="1"/>
    <col min="23" max="23" width="13.28515625" style="19" hidden="1" customWidth="1"/>
    <col min="24" max="24" width="21.85546875" style="19"/>
    <col min="25" max="25" width="21.85546875" style="18"/>
    <col min="26" max="26" width="2.42578125" style="19" customWidth="1"/>
    <col min="27" max="28" width="21.85546875" style="19"/>
    <col min="29" max="29" width="26" style="19" customWidth="1"/>
    <col min="30" max="16384" width="21.85546875" style="19"/>
  </cols>
  <sheetData>
    <row r="1" spans="1:30" ht="28.5" customHeight="1">
      <c r="A1" s="23" t="s">
        <v>0</v>
      </c>
      <c r="B1" s="25" t="s">
        <v>1</v>
      </c>
      <c r="C1" s="25" t="s">
        <v>2</v>
      </c>
      <c r="D1" s="23" t="s">
        <v>3</v>
      </c>
      <c r="E1" s="24" t="s">
        <v>4</v>
      </c>
      <c r="F1" s="24" t="s">
        <v>5</v>
      </c>
      <c r="G1" s="23" t="s">
        <v>6</v>
      </c>
      <c r="H1" s="23" t="s">
        <v>7</v>
      </c>
      <c r="I1" s="23" t="s">
        <v>8</v>
      </c>
      <c r="J1" s="23" t="s">
        <v>9</v>
      </c>
      <c r="K1" s="24" t="s">
        <v>10</v>
      </c>
      <c r="L1" s="24" t="s">
        <v>11</v>
      </c>
      <c r="M1" s="24" t="s">
        <v>12</v>
      </c>
      <c r="N1" s="24" t="s">
        <v>13</v>
      </c>
      <c r="O1" s="24" t="s">
        <v>14</v>
      </c>
      <c r="P1" s="24" t="s">
        <v>15</v>
      </c>
      <c r="Q1" s="24" t="s">
        <v>16</v>
      </c>
      <c r="R1" s="24" t="s">
        <v>17</v>
      </c>
      <c r="S1" s="25" t="s">
        <v>18</v>
      </c>
      <c r="T1" s="24" t="s">
        <v>19</v>
      </c>
      <c r="U1" s="24" t="s">
        <v>20</v>
      </c>
      <c r="V1" s="24" t="s">
        <v>21</v>
      </c>
      <c r="W1" s="19" t="s">
        <v>1121</v>
      </c>
      <c r="X1" s="20" t="s">
        <v>1122</v>
      </c>
      <c r="Y1" s="28" t="s">
        <v>1123</v>
      </c>
      <c r="AC1" s="21" t="s">
        <v>11</v>
      </c>
      <c r="AD1" s="21" t="s">
        <v>1124</v>
      </c>
    </row>
    <row r="2" spans="1:30" ht="28.5" hidden="1" customHeight="1">
      <c r="A2" s="19">
        <f>OfficeForms.Table[[#This Row],[Id]]</f>
        <v>1</v>
      </c>
      <c r="B2" s="18">
        <f>OfficeForms.Table[[#This Row],[Start time]]</f>
        <v>45816.909768518497</v>
      </c>
      <c r="C2" s="18">
        <f>OfficeForms.Table[[#This Row],[Completion time]]</f>
        <v>45816.914490740703</v>
      </c>
      <c r="D2" s="19" t="str">
        <f>OfficeForms.Table[[#This Row],[Email]]</f>
        <v>anonymous</v>
      </c>
      <c r="E2" s="19">
        <f>OfficeForms.Table[[#This Row],[Name]]</f>
        <v>0</v>
      </c>
      <c r="F2" s="19" t="str">
        <f>OfficeForms.Table[[#This Row],[สาขาที่เข้ารับบริการ]]</f>
        <v>สาขาเชียงใหม่</v>
      </c>
      <c r="G2" s="18">
        <f>OfficeForms.Table[[#This Row],[วันที่เกิดเหตุ]]</f>
        <v>45813</v>
      </c>
      <c r="H2" s="19" t="str">
        <f>OfficeForms.Table[[#This Row],[ชื่อสัตว์เลี้ยง หรือ HN สัตว์เลี้ยง]]</f>
        <v>Peanut HN.7394</v>
      </c>
      <c r="I2" s="19" t="str">
        <f>OfficeForms.Table[[#This Row],[ชื่อผู้ร้องเรียน]]</f>
        <v>Chue shwe yi anug</v>
      </c>
      <c r="J2" s="19" t="str">
        <f>OfficeForms.Table[[#This Row],[เบอร์โทรศัพท์ผู้ร้องเรียน]]</f>
        <v>0817159074</v>
      </c>
      <c r="K2" s="19">
        <f>OfficeForms.Table[[#This Row],[หน่วยงานที่ถูกร้องเรียน]]</f>
        <v>0</v>
      </c>
      <c r="L2" s="19" t="s">
        <v>996</v>
      </c>
      <c r="M2" s="19" t="str">
        <f>OfficeForms.Table[[#This Row],[รายละเอียดข้อร้องเรียน]]</f>
        <v>ฝาก Hotel แล้วมีแผลที่จมูก (เคยมีแผลที่จมูกตอนมาฝากแล้ว 1 ครั้งก่อนหน้า) เจ้าของเห็นตอนรับกลับบ้านแล้ว โดยไม่มีการแจ้งจากทาง รพ ก่อน ว่าสุนัขมีแผลที่จมูก (มีรูปยืนยันวันมาส่งเข้า Hotel จมูกยังไม่มีแผล)</v>
      </c>
      <c r="N2" s="19" t="str">
        <f>OfficeForms.Table[[#This Row],[การแก้ไขเบื้องต้น (ถ้ามี)]]</f>
        <v>กล่าวขอโทษ และเสนอส่งยาทาแผลให้ เจ้าของไม่ติดใจเอาความ ยังมียาเหลือที่เคยได้รับรอบก่อน จะลองทาดู</v>
      </c>
      <c r="O2" s="19" t="str">
        <f>OfficeForms.Table[[#This Row],[รหัสพนักงานผู้รายงาน (เพื่อสอบถามข้อมูลเพิ่มเติม)]]</f>
        <v>1022</v>
      </c>
      <c r="P2" s="19" t="str">
        <f>OfficeForms.Table[[#This Row],[ชื่อพนักงานที่อยู่ในเหตุการณ์]]</f>
        <v>0114 (ปาน รุ่งทิวา)</v>
      </c>
      <c r="Q2" s="19">
        <f>OfficeForms.Table[[#This Row],[ต้องคืนเงิน/ Credit note ลูกค้าหรือไม่]]</f>
        <v>0</v>
      </c>
      <c r="R2" s="19">
        <f>OfficeForms.Table[[#This Row],[Invoice'#/ Prepayment'#]]</f>
        <v>0</v>
      </c>
      <c r="S2" s="19">
        <f>OfficeForms.Table[[#This Row],[วันที่รับเงิน]]</f>
        <v>0</v>
      </c>
      <c r="T2" s="19">
        <f>OfficeForms.Table[[#This Row],[ชำระโดย]]</f>
        <v>0</v>
      </c>
      <c r="U2" s="19">
        <f>OfficeForms.Table[[#This Row],[ต้อง Adjust หรือ คืนเงินลูกค้าทางช่องทางใด]]</f>
        <v>0</v>
      </c>
      <c r="V2" s="19">
        <f>OfficeForms.Table[[#This Row],[ชื่อรายการที่ต้องคืน และมูลค่า (รวม VAT)]]</f>
        <v>0</v>
      </c>
      <c r="W2" s="19" t="s">
        <v>996</v>
      </c>
      <c r="Y2" s="19"/>
      <c r="AC2" s="22" t="s">
        <v>781</v>
      </c>
      <c r="AD2" s="19" t="s">
        <v>1125</v>
      </c>
    </row>
    <row r="3" spans="1:30" ht="28.5" hidden="1" customHeight="1">
      <c r="A3" s="19">
        <f>OfficeForms.Table[[#This Row],[Id]]</f>
        <v>2</v>
      </c>
      <c r="B3" s="18">
        <f>OfficeForms.Table[[#This Row],[Start time]]</f>
        <v>45826.564756944397</v>
      </c>
      <c r="C3" s="18">
        <f>OfficeForms.Table[[#This Row],[Completion time]]</f>
        <v>45826.568182870396</v>
      </c>
      <c r="D3" s="19" t="str">
        <f>OfficeForms.Table[[#This Row],[Email]]</f>
        <v>anonymous</v>
      </c>
      <c r="E3" s="19">
        <f>OfficeForms.Table[[#This Row],[Name]]</f>
        <v>0</v>
      </c>
      <c r="F3" s="19" t="str">
        <f>OfficeForms.Table[[#This Row],[สาขาที่เข้ารับบริการ]]</f>
        <v>สาขาเพชรเกษม</v>
      </c>
      <c r="G3" s="18">
        <f>OfficeForms.Table[[#This Row],[วันที่เกิดเหตุ]]</f>
        <v>45813</v>
      </c>
      <c r="H3" s="19" t="str">
        <f>OfficeForms.Table[[#This Row],[ชื่อสัตว์เลี้ยง หรือ HN สัตว์เลี้ยง]]</f>
        <v>11514</v>
      </c>
      <c r="I3" s="19" t="str">
        <f>OfficeForms.Table[[#This Row],[ชื่อผู้ร้องเรียน]]</f>
        <v>สุทธิวาท สุวรรณกุลรัตน์</v>
      </c>
      <c r="J3" s="19" t="str">
        <f>OfficeForms.Table[[#This Row],[เบอร์โทรศัพท์ผู้ร้องเรียน]]</f>
        <v>0811425004</v>
      </c>
      <c r="K3" s="19">
        <f>OfficeForms.Table[[#This Row],[หน่วยงานที่ถูกร้องเรียน]]</f>
        <v>0</v>
      </c>
      <c r="L3" s="19" t="s">
        <v>1126</v>
      </c>
      <c r="M3" s="19" t="str">
        <f>OfficeForms.Table[[#This Row],[รายละเอียดข้อร้องเรียน]]</f>
        <v>เจ้าของccเรื่องtestkit felv fiv หมอท่านแรกแจ้งว่าความแม่นยำ 99% หมออีกคนมารับต่อคุยว่าจริงๆมันไม่99%(fact) ขึ้นอยู่กับclinical sign ด้วย หมอเลยเสนอให้ตรวจ pcr แล้ว pcr เป็นneg เจ้่าของเลยโวยจะขอเงินคืน pcr แต่จริงๆมันเป็นปัญหาที่ testkit เค้าโวยว่าเราใช้ของไม่มีคุณภาพ</v>
      </c>
      <c r="N3" s="19" t="str">
        <f>OfficeForms.Table[[#This Row],[การแก้ไขเบื้องต้น (ถ้ามี)]]</f>
        <v>ต้องแจ้งความเป็นไปได้เรื่องผลตรวจ false positive ไม่ใช่ไปแจ้งการันตีว่าผลถูกต้อง</v>
      </c>
      <c r="O3" s="19" t="str">
        <f>OfficeForms.Table[[#This Row],[รหัสพนักงานผู้รายงาน (เพื่อสอบถามข้อมูลเพิ่มเติม)]]</f>
        <v>0191</v>
      </c>
      <c r="P3" s="19" t="str">
        <f>OfficeForms.Table[[#This Row],[ชื่อพนักงานที่อยู่ในเหตุการณ์]]</f>
        <v>หมอนะโม หมอเท็น ตองฟร้อน แป้งฟร้อน</v>
      </c>
      <c r="Q3" s="19">
        <f>OfficeForms.Table[[#This Row],[ต้องคืนเงิน/ Credit note ลูกค้าหรือไม่]]</f>
        <v>0</v>
      </c>
      <c r="R3" s="19">
        <f>OfficeForms.Table[[#This Row],[Invoice'#/ Prepayment'#]]</f>
        <v>0</v>
      </c>
      <c r="S3" s="19">
        <f>OfficeForms.Table[[#This Row],[วันที่รับเงิน]]</f>
        <v>0</v>
      </c>
      <c r="T3" s="19">
        <f>OfficeForms.Table[[#This Row],[ชำระโดย]]</f>
        <v>0</v>
      </c>
      <c r="U3" s="19">
        <f>OfficeForms.Table[[#This Row],[ต้อง Adjust หรือ คืนเงินลูกค้าทางช่องทางใด]]</f>
        <v>0</v>
      </c>
      <c r="V3" s="19">
        <f>OfficeForms.Table[[#This Row],[ชื่อรายการที่ต้องคืน และมูลค่า (รวม VAT)]]</f>
        <v>0</v>
      </c>
      <c r="W3" s="19" t="s">
        <v>1126</v>
      </c>
      <c r="Y3" s="19"/>
      <c r="AC3" s="22" t="s">
        <v>808</v>
      </c>
      <c r="AD3" s="19" t="s">
        <v>1127</v>
      </c>
    </row>
    <row r="4" spans="1:30" ht="88.5" hidden="1" customHeight="1">
      <c r="A4" s="19">
        <f>OfficeForms.Table[[#This Row],[Id]]</f>
        <v>3</v>
      </c>
      <c r="B4" s="18">
        <f>OfficeForms.Table[[#This Row],[Start time]]</f>
        <v>45810.522777777776</v>
      </c>
      <c r="C4" s="18">
        <f>OfficeForms.Table[[#This Row],[Completion time]]</f>
        <v>45810.524421296293</v>
      </c>
      <c r="D4" s="19" t="str">
        <f>OfficeForms.Table[[#This Row],[Email]]</f>
        <v>anonymous</v>
      </c>
      <c r="E4" s="19">
        <f>OfficeForms.Table[[#This Row],[Name]]</f>
        <v>0</v>
      </c>
      <c r="F4" s="19" t="str">
        <f>OfficeForms.Table[[#This Row],[สาขาที่เข้ารับบริการ]]</f>
        <v>สาขาทองหล่อ</v>
      </c>
      <c r="G4" s="18">
        <f>OfficeForms.Table[[#This Row],[วันที่เกิดเหตุ]]</f>
        <v>45810</v>
      </c>
      <c r="H4" s="19" t="str">
        <f>OfficeForms.Table[[#This Row],[ชื่อสัตว์เลี้ยง หรือ HN สัตว์เลี้ยง]]</f>
        <v>Ellie 9901</v>
      </c>
      <c r="I4" s="19" t="str">
        <f>OfficeForms.Table[[#This Row],[ชื่อผู้ร้องเรียน]]</f>
        <v>AM เจ้าของฝากมา</v>
      </c>
      <c r="J4" s="19" t="str">
        <f>OfficeForms.Table[[#This Row],[เบอร์โทรศัพท์ผู้ร้องเรียน]]</f>
        <v>-</v>
      </c>
      <c r="K4" s="19">
        <f>OfficeForms.Table[[#This Row],[หน่วยงานที่ถูกร้องเรียน]]</f>
        <v>0</v>
      </c>
      <c r="L4" s="19" t="s">
        <v>576</v>
      </c>
      <c r="M4" s="19" t="str">
        <f>OfficeForms.Table[[#This Row],[รายละเอียดข้อร้องเรียน]]</f>
        <v>1.Communication เจ้าของแจ้งว่าได้รับเรื่องว่าทีนัดแค่ 1 นัด แต่วันที่มามี 2 นัด และรอนาน เนื่องจากไม่มีใครแจ้ง 2. Financial ไม่ได้ลงรายละเอียด 3. Process</v>
      </c>
      <c r="N4" s="19">
        <f>OfficeForms.Table[[#This Row],[การแก้ไขเบื้องต้น (ถ้ามี)]]</f>
        <v>0</v>
      </c>
      <c r="O4" s="19">
        <f>OfficeForms.Table[[#This Row],[รหัสพนักงานผู้รายงาน (เพื่อสอบถามข้อมูลเพิ่มเติม)]]</f>
        <v>0</v>
      </c>
      <c r="P4" s="19">
        <f>OfficeForms.Table[[#This Row],[ชื่อพนักงานที่อยู่ในเหตุการณ์]]</f>
        <v>0</v>
      </c>
      <c r="Q4" s="19">
        <f>OfficeForms.Table[[#This Row],[ต้องคืนเงิน/ Credit note ลูกค้าหรือไม่]]</f>
        <v>0</v>
      </c>
      <c r="R4" s="19">
        <f>OfficeForms.Table[[#This Row],[Invoice'#/ Prepayment'#]]</f>
        <v>0</v>
      </c>
      <c r="S4" s="19">
        <f>OfficeForms.Table[[#This Row],[วันที่รับเงิน]]</f>
        <v>0</v>
      </c>
      <c r="T4" s="19">
        <f>OfficeForms.Table[[#This Row],[ชำระโดย]]</f>
        <v>0</v>
      </c>
      <c r="U4" s="19">
        <f>OfficeForms.Table[[#This Row],[ต้อง Adjust หรือ คืนเงินลูกค้าทางช่องทางใด]]</f>
        <v>0</v>
      </c>
      <c r="V4" s="19">
        <f>OfficeForms.Table[[#This Row],[ชื่อรายการที่ต้องคืน และมูลค่า (รวม VAT)]]</f>
        <v>0</v>
      </c>
      <c r="W4" s="19" t="s">
        <v>576</v>
      </c>
      <c r="Y4" s="19"/>
      <c r="AC4" s="22" t="s">
        <v>587</v>
      </c>
      <c r="AD4" s="19" t="s">
        <v>1128</v>
      </c>
    </row>
    <row r="5" spans="1:30" ht="28.5" hidden="1" customHeight="1">
      <c r="A5" s="19">
        <f>OfficeForms.Table[[#This Row],[Id]]</f>
        <v>4</v>
      </c>
      <c r="B5" s="18">
        <f>OfficeForms.Table[[#This Row],[Start time]]</f>
        <v>45814.844039351898</v>
      </c>
      <c r="C5" s="18">
        <f>OfficeForms.Table[[#This Row],[Completion time]]</f>
        <v>45814.8453240741</v>
      </c>
      <c r="D5" s="19" t="str">
        <f>OfficeForms.Table[[#This Row],[Email]]</f>
        <v>anonymous</v>
      </c>
      <c r="E5" s="19">
        <f>OfficeForms.Table[[#This Row],[Name]]</f>
        <v>0</v>
      </c>
      <c r="F5" s="19" t="str">
        <f>OfficeForms.Table[[#This Row],[สาขาที่เข้ารับบริการ]]</f>
        <v>สาขาทองหล่อ</v>
      </c>
      <c r="G5" s="18">
        <f>OfficeForms.Table[[#This Row],[วันที่เกิดเหตุ]]</f>
        <v>45814</v>
      </c>
      <c r="H5" s="19" t="str">
        <f>OfficeForms.Table[[#This Row],[ชื่อสัตว์เลี้ยง หรือ HN สัตว์เลี้ยง]]</f>
        <v>11317 Buhey</v>
      </c>
      <c r="I5" s="19" t="str">
        <f>OfficeForms.Table[[#This Row],[ชื่อผู้ร้องเรียน]]</f>
        <v>....</v>
      </c>
      <c r="J5" s="19" t="str">
        <f>OfficeForms.Table[[#This Row],[เบอร์โทรศัพท์ผู้ร้องเรียน]]</f>
        <v>....</v>
      </c>
      <c r="K5" s="19">
        <f>OfficeForms.Table[[#This Row],[หน่วยงานที่ถูกร้องเรียน]]</f>
        <v>0</v>
      </c>
      <c r="L5" s="19" t="s">
        <v>576</v>
      </c>
      <c r="M5" s="19" t="str">
        <f>OfficeForms.Table[[#This Row],[รายละเอียดข้อร้องเรียน]]</f>
        <v>พยาบาลแจ้งนัดทาง SMS ไม่ระบุเวลานัด</v>
      </c>
      <c r="N5" s="19" t="str">
        <f>OfficeForms.Table[[#This Row],[การแก้ไขเบื้องต้น (ถ้ามี)]]</f>
        <v>เติมเวลาให้ตอนแจ้งนัด</v>
      </c>
      <c r="O5" s="19" t="str">
        <f>OfficeForms.Table[[#This Row],[รหัสพนักงานผู้รายงาน (เพื่อสอบถามข้อมูลเพิ่มเติม)]]</f>
        <v>0000</v>
      </c>
      <c r="P5" s="19" t="str">
        <f>OfficeForms.Table[[#This Row],[ชื่อพนักงานที่อยู่ในเหตุการณ์]]</f>
        <v>....</v>
      </c>
      <c r="Q5" s="19">
        <f>OfficeForms.Table[[#This Row],[ต้องคืนเงิน/ Credit note ลูกค้าหรือไม่]]</f>
        <v>0</v>
      </c>
      <c r="R5" s="19">
        <f>OfficeForms.Table[[#This Row],[Invoice'#/ Prepayment'#]]</f>
        <v>0</v>
      </c>
      <c r="S5" s="19">
        <f>OfficeForms.Table[[#This Row],[วันที่รับเงิน]]</f>
        <v>0</v>
      </c>
      <c r="T5" s="19">
        <f>OfficeForms.Table[[#This Row],[ชำระโดย]]</f>
        <v>0</v>
      </c>
      <c r="U5" s="19">
        <f>OfficeForms.Table[[#This Row],[ต้อง Adjust หรือ คืนเงินลูกค้าทางช่องทางใด]]</f>
        <v>0</v>
      </c>
      <c r="V5" s="19">
        <f>OfficeForms.Table[[#This Row],[ชื่อรายการที่ต้องคืน และมูลค่า (รวม VAT)]]</f>
        <v>0</v>
      </c>
      <c r="W5" s="19" t="s">
        <v>576</v>
      </c>
      <c r="Y5" s="19"/>
      <c r="AA5" s="19" t="s">
        <v>601</v>
      </c>
      <c r="AC5" s="22" t="s">
        <v>1129</v>
      </c>
      <c r="AD5" s="19" t="s">
        <v>1130</v>
      </c>
    </row>
    <row r="6" spans="1:30" ht="28.5" hidden="1" customHeight="1">
      <c r="A6" s="19">
        <f>OfficeForms.Table[[#This Row],[Id]]</f>
        <v>5</v>
      </c>
      <c r="B6" s="18">
        <f>OfficeForms.Table[[#This Row],[Start time]]</f>
        <v>45814.8454166667</v>
      </c>
      <c r="C6" s="18">
        <f>OfficeForms.Table[[#This Row],[Completion time]]</f>
        <v>45814.846423611103</v>
      </c>
      <c r="D6" s="19" t="str">
        <f>OfficeForms.Table[[#This Row],[Email]]</f>
        <v>anonymous</v>
      </c>
      <c r="E6" s="19">
        <f>OfficeForms.Table[[#This Row],[Name]]</f>
        <v>0</v>
      </c>
      <c r="F6" s="19" t="str">
        <f>OfficeForms.Table[[#This Row],[สาขาที่เข้ารับบริการ]]</f>
        <v>สาขาทองหล่อ</v>
      </c>
      <c r="G6" s="18">
        <f>OfficeForms.Table[[#This Row],[วันที่เกิดเหตุ]]</f>
        <v>45814</v>
      </c>
      <c r="H6" s="19" t="str">
        <f>OfficeForms.Table[[#This Row],[ชื่อสัตว์เลี้ยง หรือ HN สัตว์เลี้ยง]]</f>
        <v>12069</v>
      </c>
      <c r="I6" s="19" t="str">
        <f>OfficeForms.Table[[#This Row],[ชื่อผู้ร้องเรียน]]</f>
        <v>...</v>
      </c>
      <c r="J6" s="19" t="str">
        <f>OfficeForms.Table[[#This Row],[เบอร์โทรศัพท์ผู้ร้องเรียน]]</f>
        <v>0000</v>
      </c>
      <c r="K6" s="19">
        <f>OfficeForms.Table[[#This Row],[หน่วยงานที่ถูกร้องเรียน]]</f>
        <v>0</v>
      </c>
      <c r="L6" s="19" t="s">
        <v>576</v>
      </c>
      <c r="M6" s="19" t="str">
        <f>OfficeForms.Table[[#This Row],[รายละเอียดข้อร้องเรียน]]</f>
        <v>พยาบาลเขียนในโน้ตว่าแจ้งไลน์รอตอบ แต่ลูกค้าไม่มีไลน์</v>
      </c>
      <c r="N6" s="19" t="str">
        <f>OfficeForms.Table[[#This Row],[การแก้ไขเบื้องต้น (ถ้ามี)]]</f>
        <v>แจ้ง SMS เองภายหลัง</v>
      </c>
      <c r="O6" s="19" t="str">
        <f>OfficeForms.Table[[#This Row],[รหัสพนักงานผู้รายงาน (เพื่อสอบถามข้อมูลเพิ่มเติม)]]</f>
        <v>...</v>
      </c>
      <c r="P6" s="19" t="str">
        <f>OfficeForms.Table[[#This Row],[ชื่อพนักงานที่อยู่ในเหตุการณ์]]</f>
        <v>...</v>
      </c>
      <c r="Q6" s="19">
        <f>OfficeForms.Table[[#This Row],[ต้องคืนเงิน/ Credit note ลูกค้าหรือไม่]]</f>
        <v>0</v>
      </c>
      <c r="R6" s="19">
        <f>OfficeForms.Table[[#This Row],[Invoice'#/ Prepayment'#]]</f>
        <v>0</v>
      </c>
      <c r="S6" s="19">
        <f>OfficeForms.Table[[#This Row],[วันที่รับเงิน]]</f>
        <v>0</v>
      </c>
      <c r="T6" s="19">
        <f>OfficeForms.Table[[#This Row],[ชำระโดย]]</f>
        <v>0</v>
      </c>
      <c r="U6" s="19">
        <f>OfficeForms.Table[[#This Row],[ต้อง Adjust หรือ คืนเงินลูกค้าทางช่องทางใด]]</f>
        <v>0</v>
      </c>
      <c r="V6" s="19">
        <f>OfficeForms.Table[[#This Row],[ชื่อรายการที่ต้องคืน และมูลค่า (รวม VAT)]]</f>
        <v>0</v>
      </c>
      <c r="W6" s="19" t="s">
        <v>576</v>
      </c>
      <c r="X6" s="19" t="s">
        <v>1131</v>
      </c>
      <c r="Y6" s="26">
        <v>45814</v>
      </c>
      <c r="AC6" s="22" t="s">
        <v>710</v>
      </c>
      <c r="AD6" s="19" t="s">
        <v>1132</v>
      </c>
    </row>
    <row r="7" spans="1:30" ht="28.5" hidden="1" customHeight="1">
      <c r="A7" s="19">
        <f>OfficeForms.Table[[#This Row],[Id]]</f>
        <v>6</v>
      </c>
      <c r="B7" s="18">
        <f>OfficeForms.Table[[#This Row],[Start time]]</f>
        <v>45814.846631944398</v>
      </c>
      <c r="C7" s="18">
        <f>OfficeForms.Table[[#This Row],[Completion time]]</f>
        <v>45814.846944444398</v>
      </c>
      <c r="D7" s="19" t="str">
        <f>OfficeForms.Table[[#This Row],[Email]]</f>
        <v>anonymous</v>
      </c>
      <c r="E7" s="19">
        <f>OfficeForms.Table[[#This Row],[Name]]</f>
        <v>0</v>
      </c>
      <c r="F7" s="19" t="str">
        <f>OfficeForms.Table[[#This Row],[สาขาที่เข้ารับบริการ]]</f>
        <v>สาขาทองหล่อ</v>
      </c>
      <c r="G7" s="18">
        <f>OfficeForms.Table[[#This Row],[วันที่เกิดเหตุ]]</f>
        <v>45814</v>
      </c>
      <c r="H7" s="19" t="str">
        <f>OfficeForms.Table[[#This Row],[ชื่อสัตว์เลี้ยง หรือ HN สัตว์เลี้ยง]]</f>
        <v>12070</v>
      </c>
      <c r="I7" s="19" t="str">
        <f>OfficeForms.Table[[#This Row],[ชื่อผู้ร้องเรียน]]</f>
        <v>.</v>
      </c>
      <c r="J7" s="19" t="str">
        <f>OfficeForms.Table[[#This Row],[เบอร์โทรศัพท์ผู้ร้องเรียน]]</f>
        <v>000</v>
      </c>
      <c r="K7" s="19">
        <f>OfficeForms.Table[[#This Row],[หน่วยงานที่ถูกร้องเรียน]]</f>
        <v>0</v>
      </c>
      <c r="L7" s="19" t="s">
        <v>576</v>
      </c>
      <c r="M7" s="19" t="str">
        <f>OfficeForms.Table[[#This Row],[รายละเอียดข้อร้องเรียน]]</f>
        <v>พยาบาลเขียนในโน้ตว่าแจ้งไลน์รอตอบ แต่ลูกค้าไม่มีไลน์</v>
      </c>
      <c r="N7" s="19" t="str">
        <f>OfficeForms.Table[[#This Row],[การแก้ไขเบื้องต้น (ถ้ามี)]]</f>
        <v>แจ้ง SMS ให้ภายหลัง</v>
      </c>
      <c r="O7" s="19" t="str">
        <f>OfficeForms.Table[[#This Row],[รหัสพนักงานผู้รายงาน (เพื่อสอบถามข้อมูลเพิ่มเติม)]]</f>
        <v>.</v>
      </c>
      <c r="P7" s="19" t="str">
        <f>OfficeForms.Table[[#This Row],[ชื่อพนักงานที่อยู่ในเหตุการณ์]]</f>
        <v>.</v>
      </c>
      <c r="Q7" s="19">
        <f>OfficeForms.Table[[#This Row],[ต้องคืนเงิน/ Credit note ลูกค้าหรือไม่]]</f>
        <v>0</v>
      </c>
      <c r="R7" s="19">
        <f>OfficeForms.Table[[#This Row],[Invoice'#/ Prepayment'#]]</f>
        <v>0</v>
      </c>
      <c r="S7" s="19">
        <f>OfficeForms.Table[[#This Row],[วันที่รับเงิน]]</f>
        <v>0</v>
      </c>
      <c r="T7" s="19">
        <f>OfficeForms.Table[[#This Row],[ชำระโดย]]</f>
        <v>0</v>
      </c>
      <c r="U7" s="19">
        <f>OfficeForms.Table[[#This Row],[ต้อง Adjust หรือ คืนเงินลูกค้าทางช่องทางใด]]</f>
        <v>0</v>
      </c>
      <c r="V7" s="19">
        <f>OfficeForms.Table[[#This Row],[ชื่อรายการที่ต้องคืน และมูลค่า (รวม VAT)]]</f>
        <v>0</v>
      </c>
      <c r="W7" s="19" t="s">
        <v>576</v>
      </c>
      <c r="X7" s="19" t="s">
        <v>1131</v>
      </c>
      <c r="Y7" s="26">
        <v>45814</v>
      </c>
      <c r="AC7" s="22" t="s">
        <v>662</v>
      </c>
      <c r="AD7" s="19" t="s">
        <v>1133</v>
      </c>
    </row>
    <row r="8" spans="1:30" ht="28.5" hidden="1" customHeight="1">
      <c r="A8" s="19">
        <f>OfficeForms.Table[[#This Row],[Id]]</f>
        <v>7</v>
      </c>
      <c r="B8" s="18">
        <f>OfficeForms.Table[[#This Row],[Start time]]</f>
        <v>45816.542511574102</v>
      </c>
      <c r="C8" s="18">
        <f>OfficeForms.Table[[#This Row],[Completion time]]</f>
        <v>45816.552766203698</v>
      </c>
      <c r="D8" s="19" t="str">
        <f>OfficeForms.Table[[#This Row],[Email]]</f>
        <v>anonymous</v>
      </c>
      <c r="E8" s="19">
        <f>OfficeForms.Table[[#This Row],[Name]]</f>
        <v>0</v>
      </c>
      <c r="F8" s="19" t="str">
        <f>OfficeForms.Table[[#This Row],[สาขาที่เข้ารับบริการ]]</f>
        <v>สาขาทองหล่อ</v>
      </c>
      <c r="G8" s="18">
        <f>OfficeForms.Table[[#This Row],[วันที่เกิดเหตุ]]</f>
        <v>45812</v>
      </c>
      <c r="H8" s="19" t="str">
        <f>OfficeForms.Table[[#This Row],[ชื่อสัตว์เลี้ยง หรือ HN สัตว์เลี้ยง]]</f>
        <v>BP 409</v>
      </c>
      <c r="I8" s="19" t="str">
        <f>OfficeForms.Table[[#This Row],[ชื่อผู้ร้องเรียน]]</f>
        <v>ศิริพัชร มหากิจศิริ  (149)</v>
      </c>
      <c r="J8" s="19" t="str">
        <f>OfficeForms.Table[[#This Row],[เบอร์โทรศัพท์ผู้ร้องเรียน]]</f>
        <v>081-819-9911</v>
      </c>
      <c r="K8" s="19">
        <f>OfficeForms.Table[[#This Row],[หน่วยงานที่ถูกร้องเรียน]]</f>
        <v>0</v>
      </c>
      <c r="L8" s="19" t="s">
        <v>576</v>
      </c>
      <c r="M8" s="19" t="str">
        <f>OfficeForms.Table[[#This Row],[รายละเอียดข้อร้องเรียน]]</f>
        <v>ลูกค้ามานั่งรอหมอ 45 นาที พยาบาลไม่มีการแจ้งคิว ลูกค้าจึงได้ไปถามคิว แต่กลับโดนพยาบาลถามกลับว่า ไม่ได้แจ้งที่ชั้นล่างหรอคะ ทำให้รู้สึกแย่ และกลับบ้านเลย</v>
      </c>
      <c r="N8" s="19" t="str">
        <f>OfficeForms.Table[[#This Row],[การแก้ไขเบื้องต้น (ถ้ามี)]]</f>
        <v>โทรไปรับฟัง และขอโทษ ครั้งหน้าถ้ามาใช้บริการขอไม่คิดค่าบริการ</v>
      </c>
      <c r="O8" s="19" t="str">
        <f>OfficeForms.Table[[#This Row],[รหัสพนักงานผู้รายงาน (เพื่อสอบถามข้อมูลเพิ่มเติม)]]</f>
        <v>0190 ส้มโอ</v>
      </c>
      <c r="P8" s="19" t="str">
        <f>OfficeForms.Table[[#This Row],[ชื่อพนักงานที่อยู่ในเหตุการณ์]]</f>
        <v>ไม่ทราบ</v>
      </c>
      <c r="Q8" s="19">
        <f>OfficeForms.Table[[#This Row],[ต้องคืนเงิน/ Credit note ลูกค้าหรือไม่]]</f>
        <v>0</v>
      </c>
      <c r="R8" s="19">
        <f>OfficeForms.Table[[#This Row],[Invoice'#/ Prepayment'#]]</f>
        <v>0</v>
      </c>
      <c r="S8" s="19">
        <f>OfficeForms.Table[[#This Row],[วันที่รับเงิน]]</f>
        <v>0</v>
      </c>
      <c r="T8" s="19">
        <f>OfficeForms.Table[[#This Row],[ชำระโดย]]</f>
        <v>0</v>
      </c>
      <c r="U8" s="19">
        <f>OfficeForms.Table[[#This Row],[ต้อง Adjust หรือ คืนเงินลูกค้าทางช่องทางใด]]</f>
        <v>0</v>
      </c>
      <c r="V8" s="19">
        <f>OfficeForms.Table[[#This Row],[ชื่อรายการที่ต้องคืน และมูลค่า (รวม VAT)]]</f>
        <v>0</v>
      </c>
      <c r="W8" s="19" t="s">
        <v>576</v>
      </c>
      <c r="X8" s="19" t="s">
        <v>1131</v>
      </c>
      <c r="Y8" s="26">
        <v>45814</v>
      </c>
      <c r="AC8" s="22" t="s">
        <v>842</v>
      </c>
      <c r="AD8" s="19" t="s">
        <v>1134</v>
      </c>
    </row>
    <row r="9" spans="1:30" ht="74.25" hidden="1" customHeight="1">
      <c r="A9" s="19">
        <f>OfficeForms.Table[[#This Row],[Id]]</f>
        <v>8</v>
      </c>
      <c r="B9" s="18">
        <f>OfficeForms.Table[[#This Row],[Start time]]</f>
        <v>45816.554398148102</v>
      </c>
      <c r="C9" s="18">
        <f>OfficeForms.Table[[#This Row],[Completion time]]</f>
        <v>45816.559456018498</v>
      </c>
      <c r="D9" s="19" t="str">
        <f>OfficeForms.Table[[#This Row],[Email]]</f>
        <v>anonymous</v>
      </c>
      <c r="E9" s="19">
        <f>OfficeForms.Table[[#This Row],[Name]]</f>
        <v>0</v>
      </c>
      <c r="F9" s="19" t="str">
        <f>OfficeForms.Table[[#This Row],[สาขาที่เข้ารับบริการ]]</f>
        <v>สาขาทองหล่อ</v>
      </c>
      <c r="G9" s="18">
        <f>OfficeForms.Table[[#This Row],[วันที่เกิดเหตุ]]</f>
        <v>45816</v>
      </c>
      <c r="H9" s="19" t="str">
        <f>OfficeForms.Table[[#This Row],[ชื่อสัตว์เลี้ยง หรือ HN สัตว์เลี้ยง]]</f>
        <v>คุมะ (1200)</v>
      </c>
      <c r="I9" s="19" t="str">
        <f>OfficeForms.Table[[#This Row],[ชื่อผู้ร้องเรียน]]</f>
        <v xml:space="preserve"> สิริกาญจน์ เลิศอริยวรกุล  (850)</v>
      </c>
      <c r="J9" s="19" t="str">
        <f>OfficeForms.Table[[#This Row],[เบอร์โทรศัพท์ผู้ร้องเรียน]]</f>
        <v>081 571 3116</v>
      </c>
      <c r="K9" s="19">
        <f>OfficeForms.Table[[#This Row],[หน่วยงานที่ถูกร้องเรียน]]</f>
        <v>0</v>
      </c>
      <c r="L9" s="19" t="s">
        <v>576</v>
      </c>
      <c r="M9" s="19" t="str">
        <f>OfficeForms.Table[[#This Row],[รายละเอียดข้อร้องเรียน]]</f>
        <v>ลูกค้าไปแจ้งเรื่องComplain กับเจ้าหน้าที่ที่สาขาPH ว่าทางสาขาTL บริการไม่ดีเลย ไม่อยากไปใช้บริการสาขาTLแล้ว เนื่องจากมีปัญหาหลายอย่าง 1.พยาบาลส่งกลับบ้านที่ชั้นWardเลย และไม่ได้แจ้งรายละเอียด ใบนัดก็ไม่มี 2.ทางAdmin กับFront ไม่ประสานงานกัน เพราะสอบถามเรื่องที่แจ้งมาทางLine ก็ไม่รู้เรื่อง 3.รอยานานมากกก</v>
      </c>
      <c r="N9" s="19" t="str">
        <f>OfficeForms.Table[[#This Row],[การแก้ไขเบื้องต้น (ถ้ามี)]]</f>
        <v>ทางเจ้าหน้าที่FrontสาขาPH รับเรื่องไว้ให้ เพราะลูกค้าแจ้งแค่ว่าฝากด้วยนะคะ (โอโทรไปสอบถามเพิ่มเติม มีเรื่องของยา 3 ซองที่ไม่มีการอธิบายและแจ้ง , ใบนัดไม่มี Frontต้องโทรขึ้นไปถามด้านบนIPD อีกรอบ , หมอที่Ward ถามว่ามีอะไรจะถามไหม? , Line ไม่มีการคุยกัน รอการตอบกลับนานมาก เนื่องจากยาน้องหมดซึ่งเป็นยาปฎิชีวนะ แต่ดันมาถามชื่อยากลับ มีชื่นชมน้องFront มีService mindที่ดี คือ น้องบอส และน้องจ๋า</v>
      </c>
      <c r="O9" s="19" t="str">
        <f>OfficeForms.Table[[#This Row],[รหัสพนักงานผู้รายงาน (เพื่อสอบถามข้อมูลเพิ่มเติม)]]</f>
        <v>0251 ตอง</v>
      </c>
      <c r="P9" s="19" t="str">
        <f>OfficeForms.Table[[#This Row],[ชื่อพนักงานที่อยู่ในเหตุการณ์]]</f>
        <v>ไม่ทราบ</v>
      </c>
      <c r="Q9" s="19">
        <f>OfficeForms.Table[[#This Row],[ต้องคืนเงิน/ Credit note ลูกค้าหรือไม่]]</f>
        <v>0</v>
      </c>
      <c r="R9" s="19">
        <f>OfficeForms.Table[[#This Row],[Invoice'#/ Prepayment'#]]</f>
        <v>0</v>
      </c>
      <c r="S9" s="19">
        <f>OfficeForms.Table[[#This Row],[วันที่รับเงิน]]</f>
        <v>0</v>
      </c>
      <c r="T9" s="19">
        <f>OfficeForms.Table[[#This Row],[ชำระโดย]]</f>
        <v>0</v>
      </c>
      <c r="U9" s="19">
        <f>OfficeForms.Table[[#This Row],[ต้อง Adjust หรือ คืนเงินลูกค้าทางช่องทางใด]]</f>
        <v>0</v>
      </c>
      <c r="V9" s="19">
        <f>OfficeForms.Table[[#This Row],[ชื่อรายการที่ต้องคืน และมูลค่า (รวม VAT)]]</f>
        <v>0</v>
      </c>
      <c r="W9" s="19" t="s">
        <v>576</v>
      </c>
      <c r="X9" s="19" t="s">
        <v>1131</v>
      </c>
      <c r="Y9" s="26">
        <v>45812</v>
      </c>
      <c r="AC9" s="22" t="s">
        <v>580</v>
      </c>
      <c r="AD9" s="19" t="s">
        <v>1131</v>
      </c>
    </row>
    <row r="10" spans="1:30" ht="162" hidden="1" customHeight="1">
      <c r="A10" s="19">
        <f>OfficeForms.Table[[#This Row],[Id]]</f>
        <v>9</v>
      </c>
      <c r="B10" s="18">
        <f>OfficeForms.Table[[#This Row],[Start time]]</f>
        <v>45817.724236111098</v>
      </c>
      <c r="C10" s="18">
        <f>OfficeForms.Table[[#This Row],[Completion time]]</f>
        <v>45817.729236111103</v>
      </c>
      <c r="D10" s="19" t="str">
        <f>OfficeForms.Table[[#This Row],[Email]]</f>
        <v>anonymous</v>
      </c>
      <c r="E10" s="19">
        <f>OfficeForms.Table[[#This Row],[Name]]</f>
        <v>0</v>
      </c>
      <c r="F10" s="19" t="str">
        <f>OfficeForms.Table[[#This Row],[สาขาที่เข้ารับบริการ]]</f>
        <v>สาขาทองหล่อ</v>
      </c>
      <c r="G10" s="18">
        <f>OfficeForms.Table[[#This Row],[วันที่เกิดเหตุ]]</f>
        <v>45817</v>
      </c>
      <c r="H10" s="19" t="str">
        <f>OfficeForms.Table[[#This Row],[ชื่อสัตว์เลี้ยง หรือ HN สัตว์เลี้ยง]]</f>
        <v>ไรวินท์ 8784</v>
      </c>
      <c r="I10" s="19" t="str">
        <f>OfficeForms.Table[[#This Row],[ชื่อผู้ร้องเรียน]]</f>
        <v>คุณภิญญดา กิจวณิชกุล</v>
      </c>
      <c r="J10" s="19" t="str">
        <f>OfficeForms.Table[[#This Row],[เบอร์โทรศัพท์ผู้ร้องเรียน]]</f>
        <v>0955262451</v>
      </c>
      <c r="K10" s="19">
        <f>OfficeForms.Table[[#This Row],[หน่วยงานที่ถูกร้องเรียน]]</f>
        <v>0</v>
      </c>
      <c r="L10" s="19" t="s">
        <v>576</v>
      </c>
      <c r="M10" s="19" t="str">
        <f>OfficeForms.Table[[#This Row],[รายละเอียดข้อร้องเรียน]]</f>
        <v>วันนี้พาน้องไรวินท์มาหาหมอ และหมอเจาะเลือดไม่ได้ 2 ครั้ง และจะขอลองเจาะเป็นครั้งที่3 เจ้าของเลยไม่ok เพราะน้องไม่ใช้หมาทดลอง ครั้งที่แล้วก็เป็นแบบนี้ ของน้องบี้เหมือนกัน เลยรู้สึกไม่ไว้วางใจ และกลับบ้านไป</v>
      </c>
      <c r="N10" s="19" t="str">
        <f>OfficeForms.Table[[#This Row],[การแก้ไขเบื้องต้น (ถ้ามี)]]</f>
        <v>โทรไปรับฟัง และขอโทษ เสนอหมอท่านอื่นให้ แต่ลูกค้าบอกว่าอะไรที่ต้องใช้เข็มเจาะ จะไม่มาที่นี่แล้ว ขอไปหาที่อื่นดีกว่า มาหาแค่หมอกายภาพ กับหมอกระดูกพอ</v>
      </c>
      <c r="O10" s="19" t="str">
        <f>OfficeForms.Table[[#This Row],[รหัสพนักงานผู้รายงาน (เพื่อสอบถามข้อมูลเพิ่มเติม)]]</f>
        <v>0190 ส้มโอ</v>
      </c>
      <c r="P10" s="19" t="str">
        <f>OfficeForms.Table[[#This Row],[ชื่อพนักงานที่อยู่ในเหตุการณ์]]</f>
        <v>หมอEVE และเนยOPD</v>
      </c>
      <c r="Q10" s="19">
        <f>OfficeForms.Table[[#This Row],[ต้องคืนเงิน/ Credit note ลูกค้าหรือไม่]]</f>
        <v>0</v>
      </c>
      <c r="R10" s="19">
        <f>OfficeForms.Table[[#This Row],[Invoice'#/ Prepayment'#]]</f>
        <v>0</v>
      </c>
      <c r="S10" s="19">
        <f>OfficeForms.Table[[#This Row],[วันที่รับเงิน]]</f>
        <v>0</v>
      </c>
      <c r="T10" s="19">
        <f>OfficeForms.Table[[#This Row],[ชำระโดย]]</f>
        <v>0</v>
      </c>
      <c r="U10" s="19">
        <f>OfficeForms.Table[[#This Row],[ต้อง Adjust หรือ คืนเงินลูกค้าทางช่องทางใด]]</f>
        <v>0</v>
      </c>
      <c r="V10" s="19">
        <f>OfficeForms.Table[[#This Row],[ชื่อรายการที่ต้องคืน และมูลค่า (รวม VAT)]]</f>
        <v>0</v>
      </c>
      <c r="W10" s="19" t="s">
        <v>576</v>
      </c>
      <c r="X10" s="19" t="s">
        <v>1131</v>
      </c>
      <c r="Y10" s="26">
        <v>45816</v>
      </c>
      <c r="AC10" s="22" t="s">
        <v>996</v>
      </c>
      <c r="AD10" s="19" t="s">
        <v>1135</v>
      </c>
    </row>
    <row r="11" spans="1:30" ht="28.5" hidden="1" customHeight="1">
      <c r="A11" s="19">
        <f>OfficeForms.Table[[#This Row],[Id]]</f>
        <v>10</v>
      </c>
      <c r="B11" s="18">
        <f>OfficeForms.Table[[#This Row],[Start time]]</f>
        <v>45819.434166666702</v>
      </c>
      <c r="C11" s="18">
        <f>OfficeForms.Table[[#This Row],[Completion time]]</f>
        <v>45819.436909722201</v>
      </c>
      <c r="D11" s="19" t="str">
        <f>OfficeForms.Table[[#This Row],[Email]]</f>
        <v>anonymous</v>
      </c>
      <c r="E11" s="19">
        <f>OfficeForms.Table[[#This Row],[Name]]</f>
        <v>0</v>
      </c>
      <c r="F11" s="19" t="str">
        <f>OfficeForms.Table[[#This Row],[สาขาที่เข้ารับบริการ]]</f>
        <v>สาขาทองหล่อ</v>
      </c>
      <c r="G11" s="18">
        <f>OfficeForms.Table[[#This Row],[วันที่เกิดเหตุ]]</f>
        <v>45818</v>
      </c>
      <c r="H11" s="19" t="str">
        <f>OfficeForms.Table[[#This Row],[ชื่อสัตว์เลี้ยง หรือ HN สัตว์เลี้ยง]]</f>
        <v>ไข่ตุ๋น (4907)</v>
      </c>
      <c r="I11" s="19" t="str">
        <f>OfficeForms.Table[[#This Row],[ชื่อผู้ร้องเรียน]]</f>
        <v>คุณวศุมา คณาชนะวชัชย์  (3534)</v>
      </c>
      <c r="J11" s="19" t="str">
        <f>OfficeForms.Table[[#This Row],[เบอร์โทรศัพท์ผู้ร้องเรียน]]</f>
        <v xml:space="preserve"> 090 514 5555</v>
      </c>
      <c r="K11" s="19">
        <f>OfficeForms.Table[[#This Row],[หน่วยงานที่ถูกร้องเรียน]]</f>
        <v>0</v>
      </c>
      <c r="L11" s="19" t="s">
        <v>587</v>
      </c>
      <c r="M11" s="19" t="str">
        <f>OfficeForms.Table[[#This Row],[รายละเอียดข้อร้องเรียน]]</f>
        <v>CC หมอMET 1.เจ้าของค่อนข้างกังวลเรื่องอาการสุนัข แต่สิ่งที่เขาเจอในห้องตรวจไม่โอเค ประมาณว่าเขาพยายามอธิบายอาการแต่หมอพูดและตอบกลับในเชิงว่าสุนัขอาการดูปกติ ไม่ได้มีให้คำแนะนำอะไรต่อ ตอบกลับในเชิงว่าเจ้าของกังวลมากเกินไป ฟีลแบบไม่เข้าใจในความห่วงของเขาต่อสุนัข 2. มีอุ้มสุนัขหัวโขกโต๊ะตรวจ (เจ้าของไม่ได้เล่าว่ามีการขอโทษหรือไม่)</v>
      </c>
      <c r="N11" s="19" t="str">
        <f>OfficeForms.Table[[#This Row],[การแก้ไขเบื้องต้น (ถ้ามี)]]</f>
        <v>Front รับเรื่องแจ้งให้หมอAL ติดต่อกลับวันที่11/6/68</v>
      </c>
      <c r="O11" s="19" t="str">
        <f>OfficeForms.Table[[#This Row],[รหัสพนักงานผู้รายงาน (เพื่อสอบถามข้อมูลเพิ่มเติม)]]</f>
        <v>0190 ส้มโอ</v>
      </c>
      <c r="P11" s="19" t="str">
        <f>OfficeForms.Table[[#This Row],[ชื่อพนักงานที่อยู่ในเหตุการณ์]]</f>
        <v>หมอPAN + Front แพรวา</v>
      </c>
      <c r="Q11" s="19">
        <f>OfficeForms.Table[[#This Row],[ต้องคืนเงิน/ Credit note ลูกค้าหรือไม่]]</f>
        <v>0</v>
      </c>
      <c r="R11" s="19">
        <f>OfficeForms.Table[[#This Row],[Invoice'#/ Prepayment'#]]</f>
        <v>0</v>
      </c>
      <c r="S11" s="19">
        <f>OfficeForms.Table[[#This Row],[วันที่รับเงิน]]</f>
        <v>0</v>
      </c>
      <c r="T11" s="19">
        <f>OfficeForms.Table[[#This Row],[ชำระโดย]]</f>
        <v>0</v>
      </c>
      <c r="U11" s="19">
        <f>OfficeForms.Table[[#This Row],[ต้อง Adjust หรือ คืนเงินลูกค้าทางช่องทางใด]]</f>
        <v>0</v>
      </c>
      <c r="V11" s="19">
        <f>OfficeForms.Table[[#This Row],[ชื่อรายการที่ต้องคืน และมูลค่า (รวม VAT)]]</f>
        <v>0</v>
      </c>
      <c r="W11" s="19" t="s">
        <v>587</v>
      </c>
      <c r="X11" s="19" t="s">
        <v>1131</v>
      </c>
      <c r="Y11" s="26">
        <v>45817</v>
      </c>
      <c r="AC11" s="22" t="s">
        <v>644</v>
      </c>
    </row>
    <row r="12" spans="1:30" ht="28.5" hidden="1" customHeight="1">
      <c r="A12" s="19">
        <f>OfficeForms.Table[[#This Row],[Id]]</f>
        <v>11</v>
      </c>
      <c r="B12" s="18">
        <f>OfficeForms.Table[[#This Row],[Start time]]</f>
        <v>45819.596192129597</v>
      </c>
      <c r="C12" s="18">
        <f>OfficeForms.Table[[#This Row],[Completion time]]</f>
        <v>45819.600474537001</v>
      </c>
      <c r="D12" s="19" t="str">
        <f>OfficeForms.Table[[#This Row],[Email]]</f>
        <v>anonymous</v>
      </c>
      <c r="E12" s="19">
        <f>OfficeForms.Table[[#This Row],[Name]]</f>
        <v>0</v>
      </c>
      <c r="F12" s="19" t="str">
        <f>OfficeForms.Table[[#This Row],[สาขาที่เข้ารับบริการ]]</f>
        <v>สาขาทองหล่อ</v>
      </c>
      <c r="G12" s="18">
        <f>OfficeForms.Table[[#This Row],[วันที่เกิดเหตุ]]</f>
        <v>45819</v>
      </c>
      <c r="H12" s="19" t="str">
        <f>OfficeForms.Table[[#This Row],[ชื่อสัตว์เลี้ยง หรือ HN สัตว์เลี้ยง]]</f>
        <v>โซดา (11110)</v>
      </c>
      <c r="I12" s="19" t="str">
        <f>OfficeForms.Table[[#This Row],[ชื่อผู้ร้องเรียน]]</f>
        <v xml:space="preserve"> สุภาภรณ์ สุธรรมโกศล  (7929)</v>
      </c>
      <c r="J12" s="19" t="str">
        <f>OfficeForms.Table[[#This Row],[เบอร์โทรศัพท์ผู้ร้องเรียน]]</f>
        <v>081 995 4388</v>
      </c>
      <c r="K12" s="19">
        <f>OfficeForms.Table[[#This Row],[หน่วยงานที่ถูกร้องเรียน]]</f>
        <v>0</v>
      </c>
      <c r="L12" s="19" t="s">
        <v>1126</v>
      </c>
      <c r="M12" s="19" t="str">
        <f>OfficeForms.Table[[#This Row],[รายละเอียดข้อร้องเรียน]]</f>
        <v>หมอ และพยาบาลเลื่อนเวลานัดลูกค้าไปเอง โดยที่ไม่ได้โทรแจ้งลูกค้าก่อน เมื่อน้องพยาบาลโทรไปConfirm นัดของวันที่12/6/68 ทำให้ลูกค้าไม่พอใจ</v>
      </c>
      <c r="N12" s="19" t="str">
        <f>OfficeForms.Table[[#This Row],[การแก้ไขเบื้องต้น (ถ้ามี)]]</f>
        <v>ขอโทษ และนัดกลับให้เป็นเวลาเดิม และโทรไปแจ้งหมอ ให้หมอเลื่อนนัดนัดลูกค้าของหมอแทน</v>
      </c>
      <c r="O12" s="19" t="str">
        <f>OfficeForms.Table[[#This Row],[รหัสพนักงานผู้รายงาน (เพื่อสอบถามข้อมูลเพิ่มเติม)]]</f>
        <v>0190 ส้มโอ</v>
      </c>
      <c r="P12" s="19" t="str">
        <f>OfficeForms.Table[[#This Row],[ชื่อพนักงานที่อยู่ในเหตุการณ์]]</f>
        <v>หมอGIF+OPD เนย</v>
      </c>
      <c r="Q12" s="19">
        <f>OfficeForms.Table[[#This Row],[ต้องคืนเงิน/ Credit note ลูกค้าหรือไม่]]</f>
        <v>0</v>
      </c>
      <c r="R12" s="19">
        <f>OfficeForms.Table[[#This Row],[Invoice'#/ Prepayment'#]]</f>
        <v>0</v>
      </c>
      <c r="S12" s="19">
        <f>OfficeForms.Table[[#This Row],[วันที่รับเงิน]]</f>
        <v>0</v>
      </c>
      <c r="T12" s="19">
        <f>OfficeForms.Table[[#This Row],[ชำระโดย]]</f>
        <v>0</v>
      </c>
      <c r="U12" s="19">
        <f>OfficeForms.Table[[#This Row],[ต้อง Adjust หรือ คืนเงินลูกค้าทางช่องทางใด]]</f>
        <v>0</v>
      </c>
      <c r="V12" s="19">
        <f>OfficeForms.Table[[#This Row],[ชื่อรายการที่ต้องคืน และมูลค่า (รวม VAT)]]</f>
        <v>0</v>
      </c>
      <c r="W12" s="19" t="s">
        <v>1126</v>
      </c>
      <c r="X12" s="19" t="s">
        <v>1135</v>
      </c>
      <c r="Y12" s="26">
        <v>45819</v>
      </c>
      <c r="AC12" s="22" t="s">
        <v>603</v>
      </c>
    </row>
    <row r="13" spans="1:30" ht="28.5" hidden="1" customHeight="1">
      <c r="A13" s="19">
        <f>OfficeForms.Table[[#This Row],[Id]]</f>
        <v>12</v>
      </c>
      <c r="B13" s="18">
        <f>OfficeForms.Table[[#This Row],[Start time]]</f>
        <v>45821.676516203697</v>
      </c>
      <c r="C13" s="18">
        <f>OfficeForms.Table[[#This Row],[Completion time]]</f>
        <v>45821.679247685199</v>
      </c>
      <c r="D13" s="19" t="str">
        <f>OfficeForms.Table[[#This Row],[Email]]</f>
        <v>anonymous</v>
      </c>
      <c r="E13" s="19">
        <f>OfficeForms.Table[[#This Row],[Name]]</f>
        <v>0</v>
      </c>
      <c r="F13" s="19" t="str">
        <f>OfficeForms.Table[[#This Row],[สาขาที่เข้ารับบริการ]]</f>
        <v>สาขาทองหล่อ</v>
      </c>
      <c r="G13" s="18">
        <f>OfficeForms.Table[[#This Row],[วันที่เกิดเหตุ]]</f>
        <v>45816</v>
      </c>
      <c r="H13" s="19" t="str">
        <f>OfficeForms.Table[[#This Row],[ชื่อสัตว์เลี้ยง หรือ HN สัตว์เลี้ยง]]</f>
        <v>ทองหยิบ</v>
      </c>
      <c r="I13" s="19" t="str">
        <f>OfficeForms.Table[[#This Row],[ชื่อผู้ร้องเรียน]]</f>
        <v>คุณวิระยา ฐิติเวส</v>
      </c>
      <c r="J13" s="19" t="str">
        <f>OfficeForms.Table[[#This Row],[เบอร์โทรศัพท์ผู้ร้องเรียน]]</f>
        <v>0893655954</v>
      </c>
      <c r="K13" s="19">
        <f>OfficeForms.Table[[#This Row],[หน่วยงานที่ถูกร้องเรียน]]</f>
        <v>0</v>
      </c>
      <c r="L13" s="19" t="s">
        <v>576</v>
      </c>
      <c r="M13" s="19" t="str">
        <f>OfficeForms.Table[[#This Row],[รายละเอียดข้อร้องเรียน]]</f>
        <v>คืนยาเนื่องจากสัตว์เลี้ยงแพ้ยากลุ่มที่จ่าย แพ้ Cephalexin susp เปลื่ยนเป็น Clindamycin cap</v>
      </c>
      <c r="N13" s="19" t="str">
        <f>OfficeForms.Table[[#This Row],[การแก้ไขเบื้องต้น (ถ้ามี)]]</f>
        <v>ต้องย้ำกับทางลูกค้าอีกครั้งก่อนจ่ายยาว่ามีแพ้ยาแพ้อาหารอะไรไหม และยืนยันกับทางคุณหมอ</v>
      </c>
      <c r="O13" s="19" t="str">
        <f>OfficeForms.Table[[#This Row],[รหัสพนักงานผู้รายงาน (เพื่อสอบถามข้อมูลเพิ่มเติม)]]</f>
        <v>0039</v>
      </c>
      <c r="P13" s="19" t="str">
        <f>OfficeForms.Table[[#This Row],[ชื่อพนักงานที่อยู่ในเหตุการณ์]]</f>
        <v>Rodsukon Lakorn</v>
      </c>
      <c r="Q13" s="19">
        <f>OfficeForms.Table[[#This Row],[ต้องคืนเงิน/ Credit note ลูกค้าหรือไม่]]</f>
        <v>0</v>
      </c>
      <c r="R13" s="19">
        <f>OfficeForms.Table[[#This Row],[Invoice'#/ Prepayment'#]]</f>
        <v>0</v>
      </c>
      <c r="S13" s="19">
        <f>OfficeForms.Table[[#This Row],[วันที่รับเงิน]]</f>
        <v>0</v>
      </c>
      <c r="T13" s="19">
        <f>OfficeForms.Table[[#This Row],[ชำระโดย]]</f>
        <v>0</v>
      </c>
      <c r="U13" s="19">
        <f>OfficeForms.Table[[#This Row],[ต้อง Adjust หรือ คืนเงินลูกค้าทางช่องทางใด]]</f>
        <v>0</v>
      </c>
      <c r="V13" s="19">
        <f>OfficeForms.Table[[#This Row],[ชื่อรายการที่ต้องคืน และมูลค่า (รวม VAT)]]</f>
        <v>0</v>
      </c>
      <c r="W13" s="19" t="s">
        <v>576</v>
      </c>
      <c r="X13" s="19" t="s">
        <v>1131</v>
      </c>
      <c r="Y13" s="26">
        <v>45819</v>
      </c>
      <c r="AC13" s="22" t="s">
        <v>607</v>
      </c>
    </row>
    <row r="14" spans="1:30" ht="28.5" hidden="1" customHeight="1">
      <c r="A14" s="19">
        <f>OfficeForms.Table[[#This Row],[Id]]</f>
        <v>13</v>
      </c>
      <c r="B14" s="18">
        <f>OfficeForms.Table[[#This Row],[Start time]]</f>
        <v>45822.930844907401</v>
      </c>
      <c r="C14" s="18">
        <f>OfficeForms.Table[[#This Row],[Completion time]]</f>
        <v>45822.938564814802</v>
      </c>
      <c r="D14" s="19" t="str">
        <f>OfficeForms.Table[[#This Row],[Email]]</f>
        <v>anonymous</v>
      </c>
      <c r="E14" s="19">
        <f>OfficeForms.Table[[#This Row],[Name]]</f>
        <v>0</v>
      </c>
      <c r="F14" s="19" t="str">
        <f>OfficeForms.Table[[#This Row],[สาขาที่เข้ารับบริการ]]</f>
        <v>สาขาทองหล่อ</v>
      </c>
      <c r="G14" s="18">
        <f>OfficeForms.Table[[#This Row],[วันที่เกิดเหตุ]]</f>
        <v>45822</v>
      </c>
      <c r="H14" s="19" t="str">
        <f>OfficeForms.Table[[#This Row],[ชื่อสัตว์เลี้ยง หรือ HN สัตว์เลี้ยง]]</f>
        <v>12479</v>
      </c>
      <c r="I14" s="19" t="str">
        <f>OfficeForms.Table[[#This Row],[ชื่อผู้ร้องเรียน]]</f>
        <v>พรทิพย์ แช่โกว</v>
      </c>
      <c r="J14" s="19" t="str">
        <f>OfficeForms.Table[[#This Row],[เบอร์โทรศัพท์ผู้ร้องเรียน]]</f>
        <v>0949646649</v>
      </c>
      <c r="K14" s="19">
        <f>OfficeForms.Table[[#This Row],[หน่วยงานที่ถูกร้องเรียน]]</f>
        <v>0</v>
      </c>
      <c r="L14" s="19" t="s">
        <v>842</v>
      </c>
      <c r="M14" s="19" t="str">
        <f>OfficeForms.Table[[#This Row],[รายละเอียดข้อร้องเรียน]]</f>
        <v>แมวอาการไม่ดีต้องไปแอดมิด ประสานงานอะไรเรียบร้อย นัดpet taxi 17.30 เพื่อออกจากทองหล่อ แต่เวลาที่มารับเพชรเกษมเกือบ 2 ทุ่ม ทั้งที่ไม่ควรใช้เวลามารับเกิน 1 ชม พี่ตี๋ pettaxi แจ้งเวลาออกแล้วแต่ออกจริงเกือบ1ทุ่มซึ่งต้องรอคนนุ้นคนนี้เพื่อมากับรถ แจ้งไปแล้วว่าไม่ต้องใช้หมอก็ได้เพราะอาการคงที่่ อยากได้แค่พยาบาลมา(ซึ่งก้ตามprocess ว่าต้องมีพยาบาลมาด้วยเพราะน้องต้องใช้ oxygen) แล้วประเด็นคือลูกค้าโทรมาจากต่างประเทศโทรมาโวยสาขาเพชรเกษมว่าช้าขนาดนี้เดี๋ยวจะเรียก pettaxi เอง ทักไลน์ทองหล่อไปไม่มีใครตอบ สาขาเพชรเกษมโดนด่ายับ</v>
      </c>
      <c r="N14" s="19" t="str">
        <f>OfficeForms.Table[[#This Row],[การแก้ไขเบื้องต้น (ถ้ามี)]]</f>
        <v>รอบหน้าถ้ามันช้าที่อะไรก้ควรบอกหน่อยหรือแจ้งกลับหน่อย ไม่ใช่ให้ทางหน้างานเคลียปัญหากันเองโดยที่ไม่รุ้ว่าต้นเหตุความช้าคืออะไร ส่งเคสไปผ่านpettaxi แต่ละทีมีปัญหาตลอด</v>
      </c>
      <c r="O14" s="19">
        <f>OfficeForms.Table[[#This Row],[รหัสพนักงานผู้รายงาน (เพื่อสอบถามข้อมูลเพิ่มเติม)]]</f>
        <v>191</v>
      </c>
      <c r="P14" s="19" t="str">
        <f>OfficeForms.Table[[#This Row],[ชื่อพนักงานที่อยู่ในเหตุการณ์]]</f>
        <v>แป้ง หมอหลิน หมอเท็น พี่ตี๋pettaxi หมอมิ้ม หมออาม พยาบาลเนย</v>
      </c>
      <c r="Q14" s="19">
        <f>OfficeForms.Table[[#This Row],[ต้องคืนเงิน/ Credit note ลูกค้าหรือไม่]]</f>
        <v>0</v>
      </c>
      <c r="R14" s="19">
        <f>OfficeForms.Table[[#This Row],[Invoice'#/ Prepayment'#]]</f>
        <v>0</v>
      </c>
      <c r="S14" s="19">
        <f>OfficeForms.Table[[#This Row],[วันที่รับเงิน]]</f>
        <v>0</v>
      </c>
      <c r="T14" s="19">
        <f>OfficeForms.Table[[#This Row],[ชำระโดย]]</f>
        <v>0</v>
      </c>
      <c r="U14" s="19">
        <f>OfficeForms.Table[[#This Row],[ต้อง Adjust หรือ คืนเงินลูกค้าทางช่องทางใด]]</f>
        <v>0</v>
      </c>
      <c r="V14" s="19">
        <f>OfficeForms.Table[[#This Row],[ชื่อรายการที่ต้องคืน และมูลค่า (รวม VAT)]]</f>
        <v>0</v>
      </c>
      <c r="W14" s="19" t="s">
        <v>842</v>
      </c>
      <c r="X14" s="19" t="s">
        <v>1131</v>
      </c>
      <c r="Y14" s="26">
        <v>45816</v>
      </c>
      <c r="AC14" s="22" t="s">
        <v>576</v>
      </c>
    </row>
    <row r="15" spans="1:30" ht="117.75" hidden="1" customHeight="1">
      <c r="A15" s="19">
        <f>OfficeForms.Table[[#This Row],[Id]]</f>
        <v>14</v>
      </c>
      <c r="B15" s="18">
        <f>OfficeForms.Table[[#This Row],[Start time]]</f>
        <v>45823.523287037002</v>
      </c>
      <c r="C15" s="18">
        <f>OfficeForms.Table[[#This Row],[Completion time]]</f>
        <v>45823.528229166703</v>
      </c>
      <c r="D15" s="19" t="str">
        <f>OfficeForms.Table[[#This Row],[Email]]</f>
        <v>anonymous</v>
      </c>
      <c r="E15" s="19">
        <f>OfficeForms.Table[[#This Row],[Name]]</f>
        <v>0</v>
      </c>
      <c r="F15" s="19" t="str">
        <f>OfficeForms.Table[[#This Row],[สาขาที่เข้ารับบริการ]]</f>
        <v>สาขาทองหล่อ</v>
      </c>
      <c r="G15" s="18">
        <f>OfficeForms.Table[[#This Row],[วันที่เกิดเหตุ]]</f>
        <v>45822</v>
      </c>
      <c r="H15" s="19" t="str">
        <f>OfficeForms.Table[[#This Row],[ชื่อสัตว์เลี้ยง หรือ HN สัตว์เลี้ยง]]</f>
        <v>Lou (6113)</v>
      </c>
      <c r="I15" s="19" t="str">
        <f>OfficeForms.Table[[#This Row],[ชื่อผู้ร้องเรียน]]</f>
        <v>Andrea Bennett  (4383)</v>
      </c>
      <c r="J15" s="19" t="str">
        <f>OfficeForms.Table[[#This Row],[เบอร์โทรศัพท์ผู้ร้องเรียน]]</f>
        <v>093 285 4436</v>
      </c>
      <c r="K15" s="19">
        <f>OfficeForms.Table[[#This Row],[หน่วยงานที่ถูกร้องเรียน]]</f>
        <v>0</v>
      </c>
      <c r="L15" s="19" t="s">
        <v>603</v>
      </c>
      <c r="M15" s="19" t="str">
        <f>OfficeForms.Table[[#This Row],[รายละเอียดข้อร้องเรียน]]</f>
        <v>I am writing to formally express my deep disappointment and concern regarding the handling of my Pomeranian’s recent blood draw at your clinic.  Despite my dog never having had an issue with blood draws in the past, this visit resulted in excessive trauma. The staff attempted to draw blood from his front leg and both hind legs, and I was shocked to return to the room and find significant bleeding and visible distress. The procedure, which should have taken only a few minutes, lasted over 15 minutes with three adults restraining a small dog.  I raised concerns before leaving the clinic and specifically requested that a veterinarian reassess his legs. Despite this, no vet came to speak with me or evaluate his condition. Instead, I was told to return “if there’s an issue.” The photos I took afterward show substantial bruising and swelling—far beyond what is acceptable for a standard blood draw.  This level of injury suggests either serious mishandling or a lack of technical competence. It is entirely unprofessional and unacceptable that:  • No licensed veterinarian assessed him before I left, despite my explicit request.  • The vet responsible was not made available to speak with me.  • I was expected to travel back another hour each way just to have my concerns taken seriously.  This should never have happened. I am requesting that:  1. The veterinarian who performed the blood draw is not allowed to handle my dog again under any circumstance.  2. This individual receives appropriate supervision and retraining before being allowed to conduct any procedures independently.  3. A senior veterinarian reviews this incident in full and contacts me directly to discuss it.  4. A record of this complaint is kept on file, and steps are taken to prevent this from happening to any other animal.  I am also preparing a formal complaint with the relevant veterinary regulatory authority. My dog is not a test subject, and the lack of accountability and care displayed during this visit was unacceptable.  I expect a timely and professional response.</v>
      </c>
      <c r="N15" s="19" t="str">
        <f>OfficeForms.Table[[#This Row],[การแก้ไขเบื้องต้น (ถ้ามี)]]</f>
        <v>หมอAL โทรไปคุย - สื่อสารผิดพลาดเรื่องเวลานัด (คราวที่แล้วไปถึง 11.30 , จนท มาบอกว่าเวลานัดคือ 8pm??)  - May ดูไม่เข้าใจว่าจะให้ตรวจอะไร (คิดว่าน่าจะ miscommunication) - Bruise on back leg (อธิบายไปแล้วว่า เจาะเลือดเยอะมาก หมาตัวเล็กและอาจจะดื้นด้วย ซึ่งแต่ละตัว แต่ละหมอ แต่ละวัน ความยากง่ายในการเจาะอาจไม่เหมือนกัน) - บอกให้กลับมาพรุ่งนี้ถ้าเป็นอะไร -  บ้านไกล ไม่มีเวลากลับมาหรอก - ไม่มีใครมาตรวจให้ก่อนกลับ - ขอโทษ จข ให้แล้ว - Mos คุยภาษาอังกฤษไม่ค่อยเก่ง - บอกไปว่าหมอแต่ละคนก็อาจจะพูดได้ไม่เท่ากัน แต่ทุกคนก็พยายามจะสื่อสารให้ได้ละเอียดและถูกต้องที่สุด พฤหัสหน้าจะพยายามหาคนไปช่วยสื่อสารให้  *** ตรวจเลือดอาทิตย์หน้ายกเลิกไปก่อน ตอนแรกจะตรวจ thyroid - ดูไม่ urgent . ให้ขามันได้พักก่อนดีกว่า ส่วนเรื่อง รอยช้ำ แนะนำ ประคบเย็น 10 นาที/ ข้าง ทุกๆ 6-12 ชั่วโมง รอยช้ำจะค่อยๆดีขึ้นใน 5-6วัน ผลเลือด platelet ปกติ จึงคิดว่าน่าจะเป็นมาจาก trauma ตอนเจาะเลือดมากกว่าปัญหาเรื่อง clotting  AL ให้ จข ส่งภาพขา มาอัพเดท ทุก 1-2 วัน จะได้คอยติดตามอาการให้ ว่าต้องเพิ่มการรักษาอื่นๆมั้ย วันพุธหน้า ถ้าขายังช้ำอยู่ จะยกเลิกกายภาพไปก่อน รอให้หายช้ำก่อน</v>
      </c>
      <c r="O15" s="19" t="str">
        <f>OfficeForms.Table[[#This Row],[รหัสพนักงานผู้รายงาน (เพื่อสอบถามข้อมูลเพิ่มเติม)]]</f>
        <v>0190 ส้มโอ</v>
      </c>
      <c r="P15" s="19" t="str">
        <f>OfficeForms.Table[[#This Row],[ชื่อพนักงานที่อยู่ในเหตุการณ์]]</f>
        <v>หมอMAY</v>
      </c>
      <c r="Q15" s="19">
        <f>OfficeForms.Table[[#This Row],[ต้องคืนเงิน/ Credit note ลูกค้าหรือไม่]]</f>
        <v>0</v>
      </c>
      <c r="R15" s="19">
        <f>OfficeForms.Table[[#This Row],[Invoice'#/ Prepayment'#]]</f>
        <v>0</v>
      </c>
      <c r="S15" s="19">
        <f>OfficeForms.Table[[#This Row],[วันที่รับเงิน]]</f>
        <v>0</v>
      </c>
      <c r="T15" s="19">
        <f>OfficeForms.Table[[#This Row],[ชำระโดย]]</f>
        <v>0</v>
      </c>
      <c r="U15" s="19">
        <f>OfficeForms.Table[[#This Row],[ต้อง Adjust หรือ คืนเงินลูกค้าทางช่องทางใด]]</f>
        <v>0</v>
      </c>
      <c r="V15" s="19">
        <f>OfficeForms.Table[[#This Row],[ชื่อรายการที่ต้องคืน และมูลค่า (รวม VAT)]]</f>
        <v>0</v>
      </c>
      <c r="W15" s="19" t="s">
        <v>603</v>
      </c>
      <c r="X15" s="19" t="s">
        <v>1135</v>
      </c>
      <c r="Y15" s="26">
        <v>45824</v>
      </c>
      <c r="AC15" s="22" t="s">
        <v>1136</v>
      </c>
    </row>
    <row r="16" spans="1:30" ht="182.25" hidden="1" customHeight="1">
      <c r="A16" s="19">
        <f>OfficeForms.Table[[#This Row],[Id]]</f>
        <v>16</v>
      </c>
      <c r="B16" s="18">
        <f>OfficeForms.Table[[#This Row],[Start time]]</f>
        <v>45823.700578703698</v>
      </c>
      <c r="C16" s="18">
        <f>OfficeForms.Table[[#This Row],[Completion time]]</f>
        <v>45823.719050925902</v>
      </c>
      <c r="D16" s="19" t="str">
        <f>OfficeForms.Table[[#This Row],[Email]]</f>
        <v>anonymous</v>
      </c>
      <c r="E16" s="19">
        <f>OfficeForms.Table[[#This Row],[Name]]</f>
        <v>0</v>
      </c>
      <c r="F16" s="19" t="str">
        <f>OfficeForms.Table[[#This Row],[สาขาที่เข้ารับบริการ]]</f>
        <v>สาขาทองหล่อ</v>
      </c>
      <c r="G16" s="18">
        <f>OfficeForms.Table[[#This Row],[วันที่เกิดเหตุ]]</f>
        <v>45823</v>
      </c>
      <c r="H16" s="19" t="str">
        <f>OfficeForms.Table[[#This Row],[ชื่อสัตว์เลี้ยง หรือ HN สัตว์เลี้ยง]]</f>
        <v>วินเซนต์ (12543)</v>
      </c>
      <c r="I16" s="19" t="str">
        <f>OfficeForms.Table[[#This Row],[ชื่อผู้ร้องเรียน]]</f>
        <v>Nat Jakpaisan(8943)</v>
      </c>
      <c r="J16" s="19" t="str">
        <f>OfficeForms.Table[[#This Row],[เบอร์โทรศัพท์ผู้ร้องเรียน]]</f>
        <v>089 519 2222</v>
      </c>
      <c r="K16" s="19">
        <f>OfficeForms.Table[[#This Row],[หน่วยงานที่ถูกร้องเรียน]]</f>
        <v>0</v>
      </c>
      <c r="L16" s="19" t="s">
        <v>587</v>
      </c>
      <c r="M16" s="19" t="str">
        <f>OfficeForms.Table[[#This Row],[รายละเอียดข้อร้องเรียน]]</f>
        <v>วันนี้พาน้องมาตรวจเลือด พร้อมฝังไมโครชิพ แต่คุณหมอฝังไม่เข้า แจ้งว่าพอดีเป็นไมโครชิพใหม่ ตอนที่หมอฝังไมโครชิพ ก็แจ้งว่าเสร็จแล้ว แต่ไม่มีการตรวจสอบ เจ้าของเลยแจ้งหมอให้ตรวจสอบก่อน เลยทราบว่าฝังไม่เข้า หมอไม่มีempathy เลย ไม่ดูแผลน้องด้วย</v>
      </c>
      <c r="N16" s="19" t="str">
        <f>OfficeForms.Table[[#This Row],[การแก้ไขเบื้องต้น (ถ้ามี)]]</f>
        <v>โอโทรคุยกับเจ้าของรับฟัง ขอโทษกับการบริการครั้งนี้ และไม่คิดค่าใช้จ่าย แจ้งว่าให้มาฝังไมโครชิพครั้งหน้า ให้แผลน้องหายก่อน เจ้าของขอคิดดูก่อน เพราะรู้สึกไม่ไว้ใจหมอของรพ.เราแล้ว(มีพี่ฝน(พันธ์) ) ที่ดูแผลให้น้อง และเช็ดเลือดให้ เจ้าของฝากเรื่องนี้ให้ทีมแพทย์พิจารณาว่าจะจัดการเรื่องนี้ยังไง</v>
      </c>
      <c r="O16" s="19" t="str">
        <f>OfficeForms.Table[[#This Row],[รหัสพนักงานผู้รายงาน (เพื่อสอบถามข้อมูลเพิ่มเติม)]]</f>
        <v>0190 ส้มโอ</v>
      </c>
      <c r="P16" s="19" t="str">
        <f>OfficeForms.Table[[#This Row],[ชื่อพนักงานที่อยู่ในเหตุการณ์]]</f>
        <v>หมอSAN , OPDเพื่อน , พี่ฝน(พันธ์)</v>
      </c>
      <c r="Q16" s="19">
        <f>OfficeForms.Table[[#This Row],[ต้องคืนเงิน/ Credit note ลูกค้าหรือไม่]]</f>
        <v>0</v>
      </c>
      <c r="R16" s="19">
        <f>OfficeForms.Table[[#This Row],[Invoice'#/ Prepayment'#]]</f>
        <v>0</v>
      </c>
      <c r="S16" s="19">
        <f>OfficeForms.Table[[#This Row],[วันที่รับเงิน]]</f>
        <v>0</v>
      </c>
      <c r="T16" s="19">
        <f>OfficeForms.Table[[#This Row],[ชำระโดย]]</f>
        <v>0</v>
      </c>
      <c r="U16" s="19">
        <f>OfficeForms.Table[[#This Row],[ต้อง Adjust หรือ คืนเงินลูกค้าทางช่องทางใด]]</f>
        <v>0</v>
      </c>
      <c r="V16" s="19">
        <f>OfficeForms.Table[[#This Row],[ชื่อรายการที่ต้องคืน และมูลค่า (รวม VAT)]]</f>
        <v>0</v>
      </c>
      <c r="W16" s="19" t="s">
        <v>587</v>
      </c>
      <c r="X16" s="19" t="s">
        <v>1135</v>
      </c>
      <c r="Y16" s="26">
        <v>45822</v>
      </c>
    </row>
    <row r="17" spans="1:25" ht="80.25" hidden="1" customHeight="1">
      <c r="A17" s="19">
        <f>OfficeForms.Table[[#This Row],[Id]]</f>
        <v>18</v>
      </c>
      <c r="B17" s="18">
        <f>OfficeForms.Table[[#This Row],[Start time]]</f>
        <v>45826.695798611101</v>
      </c>
      <c r="C17" s="18">
        <f>OfficeForms.Table[[#This Row],[Completion time]]</f>
        <v>45826.700046296297</v>
      </c>
      <c r="D17" s="19" t="str">
        <f>OfficeForms.Table[[#This Row],[Email]]</f>
        <v>anonymous</v>
      </c>
      <c r="E17" s="19">
        <f>OfficeForms.Table[[#This Row],[Name]]</f>
        <v>0</v>
      </c>
      <c r="F17" s="19" t="str">
        <f>OfficeForms.Table[[#This Row],[สาขาที่เข้ารับบริการ]]</f>
        <v>สาขาทองหล่อ</v>
      </c>
      <c r="G17" s="18">
        <f>OfficeForms.Table[[#This Row],[วันที่เกิดเหตุ]]</f>
        <v>45823</v>
      </c>
      <c r="H17" s="19" t="str">
        <f>OfficeForms.Table[[#This Row],[ชื่อสัตว์เลี้ยง หรือ HN สัตว์เลี้ยง]]</f>
        <v>วินเซนต์ 12543</v>
      </c>
      <c r="I17" s="19" t="str">
        <f>OfficeForms.Table[[#This Row],[ชื่อผู้ร้องเรียน]]</f>
        <v>Nat Jakpaisan  (8943)</v>
      </c>
      <c r="J17" s="19" t="str">
        <f>OfficeForms.Table[[#This Row],[เบอร์โทรศัพท์ผู้ร้องเรียน]]</f>
        <v>+66 89 519 2222</v>
      </c>
      <c r="K17" s="19">
        <f>OfficeForms.Table[[#This Row],[หน่วยงานที่ถูกร้องเรียน]]</f>
        <v>0</v>
      </c>
      <c r="L17" s="19" t="s">
        <v>587</v>
      </c>
      <c r="M17" s="19" t="str">
        <f>OfficeForms.Table[[#This Row],[รายละเอียดข้อร้องเรียน]]</f>
        <v>หมอมีการฝังไมโครชิพ Anyvet แต่หมอไม่ทราบว่าต้องดึงปลอกสีฟ้าออกก่อนฝังและทำการฝัง ทำให้ไมโครชิพไม่ถูกฝังเข้าไปในตัวสัตว์เลยขอลูกค้าฝังอีกรอบแต่ลูกค้าเกิดความไม่พอใจเป็นอย่างมาก</v>
      </c>
      <c r="N17" s="19" t="str">
        <f>OfficeForms.Table[[#This Row],[การแก้ไขเบื้องต้น (ถ้ามี)]]</f>
        <v>ควรตรวจสอบวิธีการใช้งานหรือสอบถามทางเจ้าหน้าที่ก่อนการทำ Microchip</v>
      </c>
      <c r="O17" s="19" t="str">
        <f>OfficeForms.Table[[#This Row],[รหัสพนักงานผู้รายงาน (เพื่อสอบถามข้อมูลเพิ่มเติม)]]</f>
        <v>0039</v>
      </c>
      <c r="P17" s="19" t="str">
        <f>OfficeForms.Table[[#This Row],[ชื่อพนักงานที่อยู่ในเหตุการณ์]]</f>
        <v>ปัด ห้องยาทองหล่อ</v>
      </c>
      <c r="Q17" s="19">
        <f>OfficeForms.Table[[#This Row],[ต้องคืนเงิน/ Credit note ลูกค้าหรือไม่]]</f>
        <v>0</v>
      </c>
      <c r="R17" s="19">
        <f>OfficeForms.Table[[#This Row],[Invoice'#/ Prepayment'#]]</f>
        <v>0</v>
      </c>
      <c r="S17" s="19">
        <f>OfficeForms.Table[[#This Row],[วันที่รับเงิน]]</f>
        <v>0</v>
      </c>
      <c r="T17" s="19">
        <f>OfficeForms.Table[[#This Row],[ชำระโดย]]</f>
        <v>0</v>
      </c>
      <c r="U17" s="19">
        <f>OfficeForms.Table[[#This Row],[ต้อง Adjust หรือ คืนเงินลูกค้าทางช่องทางใด]]</f>
        <v>0</v>
      </c>
      <c r="V17" s="19">
        <f>OfficeForms.Table[[#This Row],[ชื่อรายการที่ต้องคืน และมูลค่า (รวม VAT)]]</f>
        <v>0</v>
      </c>
      <c r="W17" s="19" t="s">
        <v>587</v>
      </c>
      <c r="X17" s="19" t="s">
        <v>1131</v>
      </c>
      <c r="Y17" s="19"/>
    </row>
    <row r="18" spans="1:25" ht="28.5" hidden="1" customHeight="1">
      <c r="A18" s="19">
        <f>OfficeForms.Table[[#This Row],[Id]]</f>
        <v>19</v>
      </c>
      <c r="B18" s="18">
        <f>OfficeForms.Table[[#This Row],[Start time]]</f>
        <v>45832.458726851903</v>
      </c>
      <c r="C18" s="18">
        <f>OfficeForms.Table[[#This Row],[Completion time]]</f>
        <v>45832.460960648197</v>
      </c>
      <c r="D18" s="19" t="str">
        <f>OfficeForms.Table[[#This Row],[Email]]</f>
        <v>anonymous</v>
      </c>
      <c r="E18" s="19">
        <f>OfficeForms.Table[[#This Row],[Name]]</f>
        <v>0</v>
      </c>
      <c r="F18" s="19" t="str">
        <f>OfficeForms.Table[[#This Row],[สาขาที่เข้ารับบริการ]]</f>
        <v>สาขาทองหล่อ</v>
      </c>
      <c r="G18" s="18">
        <f>OfficeForms.Table[[#This Row],[วันที่เกิดเหตุ]]</f>
        <v>45832</v>
      </c>
      <c r="H18" s="19" t="str">
        <f>OfficeForms.Table[[#This Row],[ชื่อสัตว์เลี้ยง หรือ HN สัตว์เลี้ยง]]</f>
        <v>จิมมี่ 12580</v>
      </c>
      <c r="I18" s="19" t="str">
        <f>OfficeForms.Table[[#This Row],[ชื่อผู้ร้องเรียน]]</f>
        <v>นันทพร กุดหินนอก</v>
      </c>
      <c r="J18" s="19" t="str">
        <f>OfficeForms.Table[[#This Row],[เบอร์โทรศัพท์ผู้ร้องเรียน]]</f>
        <v>0806088317</v>
      </c>
      <c r="K18" s="19">
        <f>OfficeForms.Table[[#This Row],[หน่วยงานที่ถูกร้องเรียน]]</f>
        <v>0</v>
      </c>
      <c r="L18" s="19" t="s">
        <v>587</v>
      </c>
      <c r="M18" s="19" t="str">
        <f>OfficeForms.Table[[#This Row],[รายละเอียดข้อร้องเรียน]]</f>
        <v>หมอจ่ายยาผิดจาก Samlin S เป็น L</v>
      </c>
      <c r="N18" s="19" t="str">
        <f>OfficeForms.Table[[#This Row],[การแก้ไขเบื้องต้น (ถ้ามี)]]</f>
        <v>ควรทวนและเช็คน้ำหนักก่อนจ่ายยา</v>
      </c>
      <c r="O18" s="19" t="str">
        <f>OfficeForms.Table[[#This Row],[รหัสพนักงานผู้รายงาน (เพื่อสอบถามข้อมูลเพิ่มเติม)]]</f>
        <v>0039</v>
      </c>
      <c r="P18" s="19" t="str">
        <f>OfficeForms.Table[[#This Row],[ชื่อพนักงานที่อยู่ในเหตุการณ์]]</f>
        <v>มิน ไอซ์ ปิ่น วุ้น</v>
      </c>
      <c r="Q18" s="19">
        <f>OfficeForms.Table[[#This Row],[ต้องคืนเงิน/ Credit note ลูกค้าหรือไม่]]</f>
        <v>0</v>
      </c>
      <c r="R18" s="19">
        <f>OfficeForms.Table[[#This Row],[Invoice'#/ Prepayment'#]]</f>
        <v>0</v>
      </c>
      <c r="S18" s="19">
        <f>OfficeForms.Table[[#This Row],[วันที่รับเงิน]]</f>
        <v>0</v>
      </c>
      <c r="T18" s="19">
        <f>OfficeForms.Table[[#This Row],[ชำระโดย]]</f>
        <v>0</v>
      </c>
      <c r="U18" s="19">
        <f>OfficeForms.Table[[#This Row],[ต้อง Adjust หรือ คืนเงินลูกค้าทางช่องทางใด]]</f>
        <v>0</v>
      </c>
      <c r="V18" s="19">
        <f>OfficeForms.Table[[#This Row],[ชื่อรายการที่ต้องคืน และมูลค่า (รวม VAT)]]</f>
        <v>0</v>
      </c>
      <c r="W18" s="19" t="s">
        <v>587</v>
      </c>
      <c r="X18" s="19" t="s">
        <v>1135</v>
      </c>
      <c r="Y18" s="19"/>
    </row>
    <row r="19" spans="1:25" ht="28.5" hidden="1" customHeight="1">
      <c r="A19" s="19">
        <f>OfficeForms.Table[[#This Row],[Id]]</f>
        <v>20</v>
      </c>
      <c r="B19" s="18">
        <f>OfficeForms.Table[[#This Row],[Start time]]</f>
        <v>45832.999560185199</v>
      </c>
      <c r="C19" s="18">
        <f>OfficeForms.Table[[#This Row],[Completion time]]</f>
        <v>45833.002337963</v>
      </c>
      <c r="D19" s="19" t="str">
        <f>OfficeForms.Table[[#This Row],[Email]]</f>
        <v>anonymous</v>
      </c>
      <c r="E19" s="19">
        <f>OfficeForms.Table[[#This Row],[Name]]</f>
        <v>0</v>
      </c>
      <c r="F19" s="19" t="str">
        <f>OfficeForms.Table[[#This Row],[สาขาที่เข้ารับบริการ]]</f>
        <v>สาขาทองหล่อ</v>
      </c>
      <c r="G19" s="18">
        <f>OfficeForms.Table[[#This Row],[วันที่เกิดเหตุ]]</f>
        <v>45830</v>
      </c>
      <c r="H19" s="19" t="str">
        <f>OfficeForms.Table[[#This Row],[ชื่อสัตว์เลี้ยง หรือ HN สัตว์เลี้ยง]]</f>
        <v>เดวิว</v>
      </c>
      <c r="I19" s="19" t="str">
        <f>OfficeForms.Table[[#This Row],[ชื่อผู้ร้องเรียน]]</f>
        <v>วราพร</v>
      </c>
      <c r="J19" s="19" t="str">
        <f>OfficeForms.Table[[#This Row],[เบอร์โทรศัพท์ผู้ร้องเรียน]]</f>
        <v>0957743335</v>
      </c>
      <c r="K19" s="19">
        <f>OfficeForms.Table[[#This Row],[หน่วยงานที่ถูกร้องเรียน]]</f>
        <v>0</v>
      </c>
      <c r="L19" s="19" t="s">
        <v>842</v>
      </c>
      <c r="M19" s="19" t="str">
        <f>OfficeForms.Table[[#This Row],[รายละเอียดข้อร้องเรียน]]</f>
        <v>หมอประเมินราคาแล้วไม่แจ้งฟร้อนทำให้ลุกค้าสับสน พอลุกค้าถามก็ตอบไม่ได้และไม่ตอบไลน์</v>
      </c>
      <c r="N19" s="19">
        <f>OfficeForms.Table[[#This Row],[การแก้ไขเบื้องต้น (ถ้ามี)]]</f>
        <v>0</v>
      </c>
      <c r="O19" s="19" t="str">
        <f>OfficeForms.Table[[#This Row],[รหัสพนักงานผู้รายงาน (เพื่อสอบถามข้อมูลเพิ่มเติม)]]</f>
        <v>0191</v>
      </c>
      <c r="P19" s="19" t="str">
        <f>OfficeForms.Table[[#This Row],[ชื่อพนักงานที่อยู่ในเหตุการณ์]]</f>
        <v>หมอเหมียว โยฟร้อน</v>
      </c>
      <c r="Q19" s="19">
        <f>OfficeForms.Table[[#This Row],[ต้องคืนเงิน/ Credit note ลูกค้าหรือไม่]]</f>
        <v>0</v>
      </c>
      <c r="R19" s="19">
        <f>OfficeForms.Table[[#This Row],[Invoice'#/ Prepayment'#]]</f>
        <v>0</v>
      </c>
      <c r="S19" s="19">
        <f>OfficeForms.Table[[#This Row],[วันที่รับเงิน]]</f>
        <v>0</v>
      </c>
      <c r="T19" s="19">
        <f>OfficeForms.Table[[#This Row],[ชำระโดย]]</f>
        <v>0</v>
      </c>
      <c r="U19" s="19">
        <f>OfficeForms.Table[[#This Row],[ต้อง Adjust หรือ คืนเงินลูกค้าทางช่องทางใด]]</f>
        <v>0</v>
      </c>
      <c r="V19" s="19">
        <f>OfficeForms.Table[[#This Row],[ชื่อรายการที่ต้องคืน และมูลค่า (รวม VAT)]]</f>
        <v>0</v>
      </c>
      <c r="W19" s="19" t="s">
        <v>842</v>
      </c>
      <c r="X19" s="19" t="s">
        <v>1131</v>
      </c>
      <c r="Y19" s="19"/>
    </row>
    <row r="20" spans="1:25" ht="75" hidden="1" customHeight="1">
      <c r="A20" s="19">
        <f>OfficeForms.Table[[#This Row],[Id]]</f>
        <v>21</v>
      </c>
      <c r="B20" s="18">
        <f>OfficeForms.Table[[#This Row],[Start time]]</f>
        <v>45838.7094560185</v>
      </c>
      <c r="C20" s="18">
        <f>OfficeForms.Table[[#This Row],[Completion time]]</f>
        <v>45838.713113425903</v>
      </c>
      <c r="D20" s="19" t="str">
        <f>OfficeForms.Table[[#This Row],[Email]]</f>
        <v>anonymous</v>
      </c>
      <c r="E20" s="19">
        <f>OfficeForms.Table[[#This Row],[Name]]</f>
        <v>0</v>
      </c>
      <c r="F20" s="19" t="str">
        <f>OfficeForms.Table[[#This Row],[สาขาที่เข้ารับบริการ]]</f>
        <v>สาขาทองหล่อ</v>
      </c>
      <c r="G20" s="18">
        <f>OfficeForms.Table[[#This Row],[วันที่เกิดเหตุ]]</f>
        <v>45838</v>
      </c>
      <c r="H20" s="19" t="str">
        <f>OfficeForms.Table[[#This Row],[ชื่อสัตว์เลี้ยง หรือ HN สัตว์เลี้ยง]]</f>
        <v>Melo</v>
      </c>
      <c r="I20" s="19" t="str">
        <f>OfficeForms.Table[[#This Row],[ชื่อผู้ร้องเรียน]]</f>
        <v>K.Nanthinee</v>
      </c>
      <c r="J20" s="19" t="str">
        <f>OfficeForms.Table[[#This Row],[เบอร์โทรศัพท์ผู้ร้องเรียน]]</f>
        <v>0918265665</v>
      </c>
      <c r="K20" s="19">
        <f>OfficeForms.Table[[#This Row],[หน่วยงานที่ถูกร้องเรียน]]</f>
        <v>0</v>
      </c>
      <c r="L20" s="19" t="s">
        <v>603</v>
      </c>
      <c r="M20" s="19" t="str">
        <f>OfficeForms.Table[[#This Row],[รายละเอียดข้อร้องเรียน]]</f>
        <v>ไลน์มาทั้งไลน์IPDและไลน์ทองหล่อไม่มีเจ้าหน้าที่ตอบว่าอาการน้องเป็นอย่างไรและหมอผ่าตัดจะสะดวกคุยกี่โมง</v>
      </c>
      <c r="N20" s="19" t="str">
        <f>OfficeForms.Table[[#This Row],[การแก้ไขเบื้องต้น (ถ้ามี)]]</f>
        <v>แจ้งลูกค้าอีก1 ชั่วโมงหมอผ่าตัดจะสะดวกคุยด้วยตอนนี้ติดผ่าตัดอยู่ ให้หมอIPDแจ้งอาการเบื้องต้นไปก่อน(หมอรับปากแต่ไม่ได้แจ้ง)</v>
      </c>
      <c r="O20" s="19" t="str">
        <f>OfficeForms.Table[[#This Row],[รหัสพนักงานผู้รายงาน (เพื่อสอบถามข้อมูลเพิ่มเติม)]]</f>
        <v>0219</v>
      </c>
      <c r="P20" s="19" t="str">
        <f>OfficeForms.Table[[#This Row],[ชื่อพนักงานที่อยู่ในเหตุการณ์]]</f>
        <v>พันธ์ บุญเชิด</v>
      </c>
      <c r="Q20" s="19">
        <f>OfficeForms.Table[[#This Row],[ต้องคืนเงิน/ Credit note ลูกค้าหรือไม่]]</f>
        <v>0</v>
      </c>
      <c r="R20" s="19">
        <f>OfficeForms.Table[[#This Row],[Invoice'#/ Prepayment'#]]</f>
        <v>0</v>
      </c>
      <c r="S20" s="19">
        <f>OfficeForms.Table[[#This Row],[วันที่รับเงิน]]</f>
        <v>0</v>
      </c>
      <c r="T20" s="19">
        <f>OfficeForms.Table[[#This Row],[ชำระโดย]]</f>
        <v>0</v>
      </c>
      <c r="U20" s="19">
        <f>OfficeForms.Table[[#This Row],[ต้อง Adjust หรือ คืนเงินลูกค้าทางช่องทางใด]]</f>
        <v>0</v>
      </c>
      <c r="V20" s="19">
        <f>OfficeForms.Table[[#This Row],[ชื่อรายการที่ต้องคืน และมูลค่า (รวม VAT)]]</f>
        <v>0</v>
      </c>
      <c r="W20" s="19" t="s">
        <v>603</v>
      </c>
      <c r="X20" s="19" t="s">
        <v>1131</v>
      </c>
      <c r="Y20" s="26">
        <v>45830</v>
      </c>
    </row>
    <row r="21" spans="1:25" ht="53.25" hidden="1" customHeight="1">
      <c r="A21" s="19">
        <f>OfficeForms.Table[[#This Row],[Id]]</f>
        <v>22</v>
      </c>
      <c r="B21" s="18">
        <f>OfficeForms.Table[[#This Row],[Start time]]</f>
        <v>45841.852222222202</v>
      </c>
      <c r="C21" s="18">
        <f>OfficeForms.Table[[#This Row],[Completion time]]</f>
        <v>45841.856458333299</v>
      </c>
      <c r="D21" s="19" t="str">
        <f>OfficeForms.Table[[#This Row],[Email]]</f>
        <v>anonymous</v>
      </c>
      <c r="E21" s="19">
        <f>OfficeForms.Table[[#This Row],[Name]]</f>
        <v>0</v>
      </c>
      <c r="F21" s="19" t="str">
        <f>OfficeForms.Table[[#This Row],[สาขาที่เข้ารับบริการ]]</f>
        <v>สาขาทองหล่อ</v>
      </c>
      <c r="G21" s="18">
        <f>OfficeForms.Table[[#This Row],[วันที่เกิดเหตุ]]</f>
        <v>45834</v>
      </c>
      <c r="H21" s="19" t="str">
        <f>OfficeForms.Table[[#This Row],[ชื่อสัตว์เลี้ยง หรือ HN สัตว์เลี้ยง]]</f>
        <v>จูลเลียน (12925)</v>
      </c>
      <c r="I21" s="19" t="str">
        <f>OfficeForms.Table[[#This Row],[ชื่อผู้ร้องเรียน]]</f>
        <v xml:space="preserve"> ปัณณพร พิชิตวัฒนา  (9207)</v>
      </c>
      <c r="J21" s="19" t="str">
        <f>OfficeForms.Table[[#This Row],[เบอร์โทรศัพท์ผู้ร้องเรียน]]</f>
        <v>088 954 1664</v>
      </c>
      <c r="K21" s="19">
        <f>OfficeForms.Table[[#This Row],[หน่วยงานที่ถูกร้องเรียน]]</f>
        <v>0</v>
      </c>
      <c r="L21" s="19" t="s">
        <v>576</v>
      </c>
      <c r="M21" s="19" t="str">
        <f>OfficeForms.Table[[#This Row],[รายละเอียดข้อร้องเรียน]]</f>
        <v>เจ้าของเข้าใจว่าได้ทำ MRI 1 part ในราคา 23000 บาท แต่หมอมีการทำ MRI 2 Part โดยที่เจ้าของไม่ทราบทำให้ค่าใช้จ่ายเป็น 29000 บาท</v>
      </c>
      <c r="N21" s="19" t="str">
        <f>OfficeForms.Table[[#This Row],[การแก้ไขเบื้องต้น (ถ้ามี)]]</f>
        <v>รับเรื่องแจ้งเจ้าหน้าที่ที่เกี่ยวข้อง โทรคุยกับลูกค้าแล้วพร้อมอธิบายรายการค่าใช้จ่ายและสาเหตุที่คุณหมอต้องทำ 2 Part คนไข้เข้าใจเรียบร้อยค่ะ บิลรายละเอียดของเราดูยากค่ะ ทำให้ไม่เข้าใจ</v>
      </c>
      <c r="O21" s="19" t="str">
        <f>OfficeForms.Table[[#This Row],[รหัสพนักงานผู้รายงาน (เพื่อสอบถามข้อมูลเพิ่มเติม)]]</f>
        <v>-</v>
      </c>
      <c r="P21" s="19" t="str">
        <f>OfficeForms.Table[[#This Row],[ชื่อพนักงานที่อยู่ในเหตุการณ์]]</f>
        <v>แพรวา-Front</v>
      </c>
      <c r="Q21" s="19">
        <f>OfficeForms.Table[[#This Row],[ต้องคืนเงิน/ Credit note ลูกค้าหรือไม่]]</f>
        <v>0</v>
      </c>
      <c r="R21" s="19">
        <f>OfficeForms.Table[[#This Row],[Invoice'#/ Prepayment'#]]</f>
        <v>0</v>
      </c>
      <c r="S21" s="19">
        <f>OfficeForms.Table[[#This Row],[วันที่รับเงิน]]</f>
        <v>0</v>
      </c>
      <c r="T21" s="19">
        <f>OfficeForms.Table[[#This Row],[ชำระโดย]]</f>
        <v>0</v>
      </c>
      <c r="U21" s="19">
        <f>OfficeForms.Table[[#This Row],[ต้อง Adjust หรือ คืนเงินลูกค้าทางช่องทางใด]]</f>
        <v>0</v>
      </c>
      <c r="V21" s="19">
        <f>OfficeForms.Table[[#This Row],[ชื่อรายการที่ต้องคืน และมูลค่า (รวม VAT)]]</f>
        <v>0</v>
      </c>
      <c r="W21" s="19" t="s">
        <v>576</v>
      </c>
      <c r="X21" s="19" t="s">
        <v>1131</v>
      </c>
      <c r="Y21" s="19"/>
    </row>
    <row r="22" spans="1:25" ht="50.25" hidden="1" customHeight="1">
      <c r="A22" s="19">
        <f>OfficeForms.Table[[#This Row],[Id]]</f>
        <v>23</v>
      </c>
      <c r="B22" s="18">
        <f>OfficeForms.Table[[#This Row],[Start time]]</f>
        <v>45841.838344907403</v>
      </c>
      <c r="C22" s="18">
        <f>OfficeForms.Table[[#This Row],[Completion time]]</f>
        <v>45841.856504629599</v>
      </c>
      <c r="D22" s="19" t="str">
        <f>OfficeForms.Table[[#This Row],[Email]]</f>
        <v>anonymous</v>
      </c>
      <c r="E22" s="19">
        <f>OfficeForms.Table[[#This Row],[Name]]</f>
        <v>0</v>
      </c>
      <c r="F22" s="19" t="str">
        <f>OfficeForms.Table[[#This Row],[สาขาที่เข้ารับบริการ]]</f>
        <v>สาขาทองหล่อ</v>
      </c>
      <c r="G22" s="18">
        <f>OfficeForms.Table[[#This Row],[วันที่เกิดเหตุ]]</f>
        <v>45834</v>
      </c>
      <c r="H22" s="19" t="str">
        <f>OfficeForms.Table[[#This Row],[ชื่อสัตว์เลี้ยง หรือ HN สัตว์เลี้ยง]]</f>
        <v>จูลเลียน (12925)</v>
      </c>
      <c r="I22" s="19" t="str">
        <f>OfficeForms.Table[[#This Row],[ชื่อผู้ร้องเรียน]]</f>
        <v xml:space="preserve"> ปัณณพร พิชิตวัฒนา  (9207)</v>
      </c>
      <c r="J22" s="19" t="str">
        <f>OfficeForms.Table[[#This Row],[เบอร์โทรศัพท์ผู้ร้องเรียน]]</f>
        <v>088 954 1664</v>
      </c>
      <c r="K22" s="19">
        <f>OfficeForms.Table[[#This Row],[หน่วยงานที่ถูกร้องเรียน]]</f>
        <v>0</v>
      </c>
      <c r="L22" s="19" t="s">
        <v>1126</v>
      </c>
      <c r="M22" s="19" t="str">
        <f>OfficeForms.Table[[#This Row],[รายละเอียดข้อร้องเรียน]]</f>
        <v>เจ้าของแจ้งว่าเคยได้มีการโทรสอบถามว่าสามารถตรวจ ECho หัวใจด้วยโปร 2990 ได้ไหม เจ้าของได้รับคำตอบว่าทำได้ แต่ในบิลคุณหมอชัญภรไม่ได้คีย์ค่าใช้จ่ายแบบโปรโมชั่น  คีย์เป็นราคาเต็ม 3200 บาท ตรวจสอบในนัดที่ลงไว้ไม่ได้ระบุว่าใช้โปรและพยาบาลเป็นคนสร้างนัด ทำให้ต้องคืนเงินส่วนต่างในระบบ 210 บาท</v>
      </c>
      <c r="N22" s="19" t="str">
        <f>OfficeForms.Table[[#This Row],[การแก้ไขเบื้องต้น (ถ้ามี)]]</f>
        <v>แจ้งบัญชีทำเรื่องคืนเงินในระบบ แจ้งลูกค้าเรื่องทำแจ้งคืนเงิน ลูกค้าให้ใส่เป็น Credit ในระบบทิ้งไว้ค่ะ</v>
      </c>
      <c r="O22" s="19" t="str">
        <f>OfficeForms.Table[[#This Row],[รหัสพนักงานผู้รายงาน (เพื่อสอบถามข้อมูลเพิ่มเติม)]]</f>
        <v>-</v>
      </c>
      <c r="P22" s="19" t="str">
        <f>OfficeForms.Table[[#This Row],[ชื่อพนักงานที่อยู่ในเหตุการณ์]]</f>
        <v>แพรวา-Front</v>
      </c>
      <c r="Q22" s="19">
        <f>OfficeForms.Table[[#This Row],[ต้องคืนเงิน/ Credit note ลูกค้าหรือไม่]]</f>
        <v>0</v>
      </c>
      <c r="R22" s="19">
        <f>OfficeForms.Table[[#This Row],[Invoice'#/ Prepayment'#]]</f>
        <v>0</v>
      </c>
      <c r="S22" s="19">
        <f>OfficeForms.Table[[#This Row],[วันที่รับเงิน]]</f>
        <v>0</v>
      </c>
      <c r="T22" s="19">
        <f>OfficeForms.Table[[#This Row],[ชำระโดย]]</f>
        <v>0</v>
      </c>
      <c r="U22" s="19">
        <f>OfficeForms.Table[[#This Row],[ต้อง Adjust หรือ คืนเงินลูกค้าทางช่องทางใด]]</f>
        <v>0</v>
      </c>
      <c r="V22" s="19">
        <f>OfficeForms.Table[[#This Row],[ชื่อรายการที่ต้องคืน และมูลค่า (รวม VAT)]]</f>
        <v>0</v>
      </c>
      <c r="W22" s="19" t="s">
        <v>1126</v>
      </c>
      <c r="X22" s="19" t="s">
        <v>1134</v>
      </c>
      <c r="Y22" s="18">
        <v>45834</v>
      </c>
    </row>
    <row r="23" spans="1:25" ht="64.5" hidden="1" customHeight="1">
      <c r="A23" s="19">
        <f>OfficeForms.Table[[#This Row],[Id]]</f>
        <v>24</v>
      </c>
      <c r="B23" s="18">
        <f>OfficeForms.Table[[#This Row],[Start time]]</f>
        <v>45842.550347222197</v>
      </c>
      <c r="C23" s="18">
        <f>OfficeForms.Table[[#This Row],[Completion time]]</f>
        <v>45842.550995370402</v>
      </c>
      <c r="D23" s="19" t="str">
        <f>OfficeForms.Table[[#This Row],[Email]]</f>
        <v>anonymous</v>
      </c>
      <c r="E23" s="19">
        <f>OfficeForms.Table[[#This Row],[Name]]</f>
        <v>0</v>
      </c>
      <c r="F23" s="19" t="str">
        <f>OfficeForms.Table[[#This Row],[สาขาที่เข้ารับบริการ]]</f>
        <v>สาขาทองหล่อ</v>
      </c>
      <c r="G23" s="18">
        <f>OfficeForms.Table[[#This Row],[วันที่เกิดเหตุ]]</f>
        <v>45838</v>
      </c>
      <c r="H23" s="19" t="str">
        <f>OfficeForms.Table[[#This Row],[ชื่อสัตว์เลี้ยง หรือ HN สัตว์เลี้ยง]]</f>
        <v>SeeNin</v>
      </c>
      <c r="I23" s="19" t="str">
        <f>OfficeForms.Table[[#This Row],[ชื่อผู้ร้องเรียน]]</f>
        <v>AM</v>
      </c>
      <c r="J23" s="19" t="str">
        <f>OfficeForms.Table[[#This Row],[เบอร์โทรศัพท์ผู้ร้องเรียน]]</f>
        <v>0831677088</v>
      </c>
      <c r="K23" s="19">
        <f>OfficeForms.Table[[#This Row],[หน่วยงานที่ถูกร้องเรียน]]</f>
        <v>0</v>
      </c>
      <c r="L23" s="19" t="s">
        <v>603</v>
      </c>
      <c r="M23" s="19" t="str">
        <f>OfficeForms.Table[[#This Row],[รายละเอียดข้อร้องเรียน]]</f>
        <v>Ignore customer</v>
      </c>
      <c r="N23" s="19">
        <f>OfficeForms.Table[[#This Row],[การแก้ไขเบื้องต้น (ถ้ามี)]]</f>
        <v>0</v>
      </c>
      <c r="O23" s="19" t="str">
        <f>OfficeForms.Table[[#This Row],[รหัสพนักงานผู้รายงาน (เพื่อสอบถามข้อมูลเพิ่มเติม)]]</f>
        <v>1001</v>
      </c>
      <c r="P23" s="19" t="str">
        <f>OfficeForms.Table[[#This Row],[ชื่อพนักงานที่อยู่ในเหตุการณ์]]</f>
        <v>-</v>
      </c>
      <c r="Q23" s="19">
        <f>OfficeForms.Table[[#This Row],[ต้องคืนเงิน/ Credit note ลูกค้าหรือไม่]]</f>
        <v>0</v>
      </c>
      <c r="R23" s="19">
        <f>OfficeForms.Table[[#This Row],[Invoice'#/ Prepayment'#]]</f>
        <v>0</v>
      </c>
      <c r="S23" s="19">
        <f>OfficeForms.Table[[#This Row],[วันที่รับเงิน]]</f>
        <v>0</v>
      </c>
      <c r="T23" s="19">
        <f>OfficeForms.Table[[#This Row],[ชำระโดย]]</f>
        <v>0</v>
      </c>
      <c r="U23" s="19">
        <f>OfficeForms.Table[[#This Row],[ต้อง Adjust หรือ คืนเงินลูกค้าทางช่องทางใด]]</f>
        <v>0</v>
      </c>
      <c r="V23" s="19">
        <f>OfficeForms.Table[[#This Row],[ชื่อรายการที่ต้องคืน และมูลค่า (รวม VAT)]]</f>
        <v>0</v>
      </c>
      <c r="W23" s="19" t="s">
        <v>603</v>
      </c>
      <c r="X23" s="19" t="s">
        <v>1134</v>
      </c>
      <c r="Y23" s="18">
        <v>45834</v>
      </c>
    </row>
    <row r="24" spans="1:25" ht="28.5" hidden="1" customHeight="1">
      <c r="A24" s="19">
        <f>OfficeForms.Table[[#This Row],[Id]]</f>
        <v>25</v>
      </c>
      <c r="B24" s="18">
        <f>OfficeForms.Table[[#This Row],[Start time]]</f>
        <v>45852.756180555603</v>
      </c>
      <c r="C24" s="18">
        <f>OfficeForms.Table[[#This Row],[Completion time]]</f>
        <v>45852.760625000003</v>
      </c>
      <c r="D24" s="19" t="str">
        <f>OfficeForms.Table[[#This Row],[Email]]</f>
        <v>anonymous</v>
      </c>
      <c r="E24" s="19">
        <f>OfficeForms.Table[[#This Row],[Name]]</f>
        <v>0</v>
      </c>
      <c r="F24" s="19" t="str">
        <f>OfficeForms.Table[[#This Row],[สาขาที่เข้ารับบริการ]]</f>
        <v>สาขาภูเก็ต</v>
      </c>
      <c r="G24" s="18">
        <f>OfficeForms.Table[[#This Row],[วันที่เกิดเหตุ]]</f>
        <v>45852</v>
      </c>
      <c r="H24" s="19" t="str">
        <f>OfficeForms.Table[[#This Row],[ชื่อสัตว์เลี้ยง หรือ HN สัตว์เลี้ยง]]</f>
        <v>Kotja 13348</v>
      </c>
      <c r="I24" s="19" t="str">
        <f>OfficeForms.Table[[#This Row],[ชื่อผู้ร้องเรียน]]</f>
        <v>จิดาภา โลหะนวกุล</v>
      </c>
      <c r="J24" s="19" t="str">
        <f>OfficeForms.Table[[#This Row],[เบอร์โทรศัพท์ผู้ร้องเรียน]]</f>
        <v>0842535137</v>
      </c>
      <c r="K24" s="19">
        <f>OfficeForms.Table[[#This Row],[หน่วยงานที่ถูกร้องเรียน]]</f>
        <v>0</v>
      </c>
      <c r="M24" s="19" t="str">
        <f>OfficeForms.Table[[#This Row],[รายละเอียดข้อร้องเรียน]]</f>
        <v>ประเมินค่าใช้จ่ายและเรียกเก็บเงินลูกค้ามากกว่าความเป็นจริง ทำให้ต้องมีการคืนเงินลูกค้า</v>
      </c>
      <c r="N24" s="19">
        <f>OfficeForms.Table[[#This Row],[การแก้ไขเบื้องต้น (ถ้ามี)]]</f>
        <v>0</v>
      </c>
      <c r="O24" s="19" t="str">
        <f>OfficeForms.Table[[#This Row],[รหัสพนักงานผู้รายงาน (เพื่อสอบถามข้อมูลเพิ่มเติม)]]</f>
        <v>1044</v>
      </c>
      <c r="P24" s="19" t="str">
        <f>OfficeForms.Table[[#This Row],[ชื่อพนักงานที่อยู่ในเหตุการณ์]]</f>
        <v>นายเด่นพงศ์ สุขมาก (ฟร้อนที่รับเรื่องหน้างาน)</v>
      </c>
      <c r="Q24" s="19">
        <f>OfficeForms.Table[[#This Row],[ต้องคืนเงิน/ Credit note ลูกค้าหรือไม่]]</f>
        <v>0</v>
      </c>
      <c r="R24" s="19">
        <f>OfficeForms.Table[[#This Row],[Invoice'#/ Prepayment'#]]</f>
        <v>0</v>
      </c>
      <c r="S24" s="19">
        <f>OfficeForms.Table[[#This Row],[วันที่รับเงิน]]</f>
        <v>0</v>
      </c>
      <c r="T24" s="19">
        <f>OfficeForms.Table[[#This Row],[ชำระโดย]]</f>
        <v>0</v>
      </c>
      <c r="U24" s="19">
        <f>OfficeForms.Table[[#This Row],[ต้อง Adjust หรือ คืนเงินลูกค้าทางช่องทางใด]]</f>
        <v>0</v>
      </c>
      <c r="V24" s="19">
        <f>OfficeForms.Table[[#This Row],[ชื่อรายการที่ต้องคืน และมูลค่า (รวม VAT)]]</f>
        <v>0</v>
      </c>
      <c r="X24" s="19" t="s">
        <v>1131</v>
      </c>
      <c r="Y24" s="19"/>
    </row>
    <row r="25" spans="1:25" ht="28.5" hidden="1" customHeight="1">
      <c r="A25" s="19">
        <f>OfficeForms.Table[[#This Row],[Id]]</f>
        <v>15</v>
      </c>
      <c r="B25" s="18">
        <f>OfficeForms.Table[[#This Row],[Start time]]</f>
        <v>45823.53</v>
      </c>
      <c r="C25" s="18">
        <f>OfficeForms.Table[[#This Row],[Completion time]]</f>
        <v>45823.533067129603</v>
      </c>
      <c r="D25" s="19" t="str">
        <f>OfficeForms.Table[[#This Row],[Email]]</f>
        <v>anonymous</v>
      </c>
      <c r="E25" s="19">
        <f>OfficeForms.Table[[#This Row],[Name]]</f>
        <v>0</v>
      </c>
      <c r="F25" s="19" t="str">
        <f>OfficeForms.Table[[#This Row],[สาขาที่เข้ารับบริการ]]</f>
        <v>สาขาหลังสวน</v>
      </c>
      <c r="G25" s="18">
        <f>OfficeForms.Table[[#This Row],[วันที่เกิดเหตุ]]</f>
        <v>45822</v>
      </c>
      <c r="H25" s="19" t="str">
        <f>OfficeForms.Table[[#This Row],[ชื่อสัตว์เลี้ยง หรือ HN สัตว์เลี้ยง]]</f>
        <v>Naka (นากะ) (7184)</v>
      </c>
      <c r="I25" s="19" t="str">
        <f>OfficeForms.Table[[#This Row],[ชื่อผู้ร้องเรียน]]</f>
        <v>Chansik Ko  (896)</v>
      </c>
      <c r="J25" s="19" t="str">
        <f>OfficeForms.Table[[#This Row],[เบอร์โทรศัพท์ผู้ร้องเรียน]]</f>
        <v>061 175 4115</v>
      </c>
      <c r="K25" s="19">
        <f>OfficeForms.Table[[#This Row],[หน่วยงานที่ถูกร้องเรียน]]</f>
        <v>0</v>
      </c>
      <c r="L25" s="19" t="s">
        <v>710</v>
      </c>
      <c r="M25" s="19" t="str">
        <f>OfficeForms.Table[[#This Row],[รายละเอียดข้อร้องเรียน]]</f>
        <v>สวัสดี วันนี้ฉันพาสุนัขไปหาสัตวแพทย์ เธอเป็นแค่สัตวแพทย์ทั่วไป ฉันนึกว่าฉันจะได้เจอคุณหมอเฉพาะทางด้านฟันของสุนัขเสียอีก?  เธอช่วยอะไรได้ไม่มาก นอกจากพยายามติดต่อคุณหมอเฉพาะทางให้ แล้วฉันยังต้องจ่าย 500 บาทแค่เพียงเท่านั้นเอง มันดูไม่สมเหตุสมผลเลย ?  จากนั้นฉันต้องจองนัดใหม่กับคุณหมอเฉพาะทางในวันอื่น นี่เป็นประสบการณ์ที่น่าผิดหวังมาก และไม่เป็นมืออาชีพเลย</v>
      </c>
      <c r="N25" s="19" t="str">
        <f>OfficeForms.Table[[#This Row],[การแก้ไขเบื้องต้น (ถ้ามี)]]</f>
        <v>Adminตอง ทำการแจ้งขอโทษไปทางLine ว่า ขอขอบคุณสำหรับข้อความของคุณ และต้องขออภัยอย่างสูงสำหรับความไม่สะดวกและความเข้าใจที่คลาดเคลื่อนในการเข้ารับบริการในครั้งนี้  เราเข้าใจถึงความรู้สึกผิดหวังของคุณเป็นอย่างดี และเสียใจที่การนัดหมายในครั้งนี้ไม่ได้เป็นไปตามที่คาดหวังไว้ เดิมทีการนัดหมายกับคุณหมอทั่วไปมีวัตถุประสงค์เพื่อประเมินเบื้องต้นและช่วยประสานงานกับคุณหมอเฉพาะทางด้านทันตกรรม แต่เรายอมรับว่ามีข้อผิดพลาดในการสื่อสารที่ชัดเจน และขออภัยมา ณ ที่นี้ ทางเราจะแจ้งผู้จัดการเพื่อรับทราบและติดต่อกลับไปอย่างเร็วที่สุด</v>
      </c>
      <c r="O25" s="19" t="str">
        <f>OfficeForms.Table[[#This Row],[รหัสพนักงานผู้รายงาน (เพื่อสอบถามข้อมูลเพิ่มเติม)]]</f>
        <v>0190 ส้มโอ</v>
      </c>
      <c r="P25" s="19" t="str">
        <f>OfficeForms.Table[[#This Row],[ชื่อพนักงานที่อยู่ในเหตุการณ์]]</f>
        <v>ไม่ทราบ</v>
      </c>
      <c r="Q25" s="19">
        <f>OfficeForms.Table[[#This Row],[ต้องคืนเงิน/ Credit note ลูกค้าหรือไม่]]</f>
        <v>0</v>
      </c>
      <c r="R25" s="19">
        <f>OfficeForms.Table[[#This Row],[Invoice'#/ Prepayment'#]]</f>
        <v>0</v>
      </c>
      <c r="S25" s="19">
        <f>OfficeForms.Table[[#This Row],[วันที่รับเงิน]]</f>
        <v>0</v>
      </c>
      <c r="T25" s="19">
        <f>OfficeForms.Table[[#This Row],[ชำระโดย]]</f>
        <v>0</v>
      </c>
      <c r="U25" s="19">
        <f>OfficeForms.Table[[#This Row],[ต้อง Adjust หรือ คืนเงินลูกค้าทางช่องทางใด]]</f>
        <v>0</v>
      </c>
      <c r="V25" s="19">
        <f>OfficeForms.Table[[#This Row],[ชื่อรายการที่ต้องคืน และมูลค่า (รวม VAT)]]</f>
        <v>0</v>
      </c>
      <c r="W25" s="19" t="s">
        <v>710</v>
      </c>
      <c r="Y25" s="19"/>
    </row>
    <row r="26" spans="1:25" ht="28.5" hidden="1" customHeight="1">
      <c r="A26" s="19">
        <f>OfficeForms.Table[[#This Row],[Id]]</f>
        <v>26</v>
      </c>
      <c r="B26" s="18">
        <f>OfficeForms.Table[[#This Row],[Start time]]</f>
        <v>45859.325949074097</v>
      </c>
      <c r="C26" s="18">
        <f>OfficeForms.Table[[#This Row],[Completion time]]</f>
        <v>45859.329004629602</v>
      </c>
      <c r="D26" s="19" t="str">
        <f>OfficeForms.Table[[#This Row],[Email]]</f>
        <v>anonymous</v>
      </c>
      <c r="E26" s="19">
        <f>OfficeForms.Table[[#This Row],[Name]]</f>
        <v>0</v>
      </c>
      <c r="F26" s="19" t="str">
        <f>OfficeForms.Table[[#This Row],[สาขาที่เข้ารับบริการ]]</f>
        <v>สาขาทองหล่อ</v>
      </c>
      <c r="G26" s="18">
        <f>OfficeForms.Table[[#This Row],[วันที่เกิดเหตุ]]</f>
        <v>45859</v>
      </c>
      <c r="H26" s="19" t="str">
        <f>OfficeForms.Table[[#This Row],[ชื่อสัตว์เลี้ยง หรือ HN สัตว์เลี้ยง]]</f>
        <v>ฟักทอง 13805</v>
      </c>
      <c r="I26" s="19" t="str">
        <f>OfficeForms.Table[[#This Row],[ชื่อผู้ร้องเรียน]]</f>
        <v>สิรวีร์</v>
      </c>
      <c r="J26" s="19" t="str">
        <f>OfficeForms.Table[[#This Row],[เบอร์โทรศัพท์ผู้ร้องเรียน]]</f>
        <v>0655989891</v>
      </c>
      <c r="K26" s="19">
        <f>OfficeForms.Table[[#This Row],[หน่วยงานที่ถูกร้องเรียน]]</f>
        <v>0</v>
      </c>
      <c r="L26" s="19" t="s">
        <v>587</v>
      </c>
      <c r="M26" s="19" t="str">
        <f>OfficeForms.Table[[#This Row],[รายละเอียดข้อร้องเรียน]]</f>
        <v>เจ้าของแจ้งว่าที่นอนห้องfam1 มีกลิ่นฉี่เหม็นค่ะ</v>
      </c>
      <c r="N26" s="19" t="str">
        <f>OfficeForms.Table[[#This Row],[การแก้ไขเบื้องต้น (ถ้ามี)]]</f>
        <v>เช็คการเข้าพักของห้องพักมีห้องว่างให้เจ้าของย้ายห้องค่ะ</v>
      </c>
      <c r="O26" s="19" t="str">
        <f>OfficeForms.Table[[#This Row],[รหัสพนักงานผู้รายงาน (เพื่อสอบถามข้อมูลเพิ่มเติม)]]</f>
        <v>0081</v>
      </c>
      <c r="P26" s="19" t="str">
        <f>OfficeForms.Table[[#This Row],[ชื่อพนักงานที่อยู่ในเหตุการณ์]]</f>
        <v xml:space="preserve">โบนุช </v>
      </c>
      <c r="Q26" s="19">
        <f>OfficeForms.Table[[#This Row],[ต้องคืนเงิน/ Credit note ลูกค้าหรือไม่]]</f>
        <v>0</v>
      </c>
      <c r="R26" s="19">
        <f>OfficeForms.Table[[#This Row],[Invoice'#/ Prepayment'#]]</f>
        <v>0</v>
      </c>
      <c r="S26" s="19">
        <f>OfficeForms.Table[[#This Row],[วันที่รับเงิน]]</f>
        <v>0</v>
      </c>
      <c r="T26" s="19">
        <f>OfficeForms.Table[[#This Row],[ชำระโดย]]</f>
        <v>0</v>
      </c>
      <c r="U26" s="19">
        <f>OfficeForms.Table[[#This Row],[ต้อง Adjust หรือ คืนเงินลูกค้าทางช่องทางใด]]</f>
        <v>0</v>
      </c>
      <c r="V26" s="19">
        <f>OfficeForms.Table[[#This Row],[ชื่อรายการที่ต้องคืน และมูลค่า (รวม VAT)]]</f>
        <v>0</v>
      </c>
      <c r="W26" s="19" t="s">
        <v>587</v>
      </c>
      <c r="Y26" s="19"/>
    </row>
    <row r="27" spans="1:25" ht="28.5" hidden="1" customHeight="1">
      <c r="A27" s="19">
        <f>OfficeForms.Table[[#This Row],[Id]]</f>
        <v>27</v>
      </c>
      <c r="B27" s="18">
        <f>OfficeForms.Table[[#This Row],[Start time]]</f>
        <v>45863.738240740699</v>
      </c>
      <c r="C27" s="18">
        <f>OfficeForms.Table[[#This Row],[Completion time]]</f>
        <v>45863.7426388889</v>
      </c>
      <c r="D27" s="19" t="str">
        <f>OfficeForms.Table[[#This Row],[Email]]</f>
        <v>anonymous</v>
      </c>
      <c r="E27" s="19">
        <f>OfficeForms.Table[[#This Row],[Name]]</f>
        <v>0</v>
      </c>
      <c r="F27" s="19" t="str">
        <f>OfficeForms.Table[[#This Row],[สาขาที่เข้ารับบริการ]]</f>
        <v>สาขาทองหล่อ</v>
      </c>
      <c r="G27" s="18">
        <f>OfficeForms.Table[[#This Row],[วันที่เกิดเหตุ]]</f>
        <v>45855</v>
      </c>
      <c r="H27" s="19" t="str">
        <f>OfficeForms.Table[[#This Row],[ชื่อสัตว์เลี้ยง หรือ HN สัตว์เลี้ยง]]</f>
        <v>บาลู</v>
      </c>
      <c r="I27" s="19" t="str">
        <f>OfficeForms.Table[[#This Row],[ชื่อผู้ร้องเรียน]]</f>
        <v>POL และ บุ๊คห้องยา</v>
      </c>
      <c r="J27" s="19" t="str">
        <f>OfficeForms.Table[[#This Row],[เบอร์โทรศัพท์ผู้ร้องเรียน]]</f>
        <v>0935295359</v>
      </c>
      <c r="K27" s="19">
        <f>OfficeForms.Table[[#This Row],[หน่วยงานที่ถูกร้องเรียน]]</f>
        <v>0</v>
      </c>
      <c r="L27" s="19" t="s">
        <v>603</v>
      </c>
      <c r="M27" s="19" t="str">
        <f>OfficeForms.Table[[#This Row],[รายละเอียดข้อร้องเรียน]]</f>
        <v>ป้อนยาเคมีบำบัดผิดขนาด จาก Lomustine 10mg เป็น lomustine 40mg เหตุเกิดจากห้องยาหยิบยาผิดขวด และหมอไม่ได้เช็คภาพคอนเฟิมยาก่อนป้อนยาให้สัตว์</v>
      </c>
      <c r="N27" s="19" t="str">
        <f>OfficeForms.Table[[#This Row],[การแก้ไขเบื้องต้น (ถ้ามี)]]</f>
        <v>1. กระตุ้นอาเจียน 2. ป้อน charcoal 3. ให้น้ำเกลือ 4. ตรวจเลือด CBC+ALT sid เพื่อ monitor myelosuppression และ hepatotoxic 5. admit ICU ดูอาการ 7-14 วัน เนื่องจาก side effect อาจ delayed ยาวนานได้ถึง 14 วัน</v>
      </c>
      <c r="O27" s="19" t="str">
        <f>OfficeForms.Table[[#This Row],[รหัสพนักงานผู้รายงาน (เพื่อสอบถามข้อมูลเพิ่มเติม)]]</f>
        <v>3350</v>
      </c>
      <c r="P27" s="19" t="str">
        <f>OfficeForms.Table[[#This Row],[ชื่อพนักงานที่อยู่ในเหตุการณ์]]</f>
        <v>พยาบาลโบว์</v>
      </c>
      <c r="Q27" s="19">
        <f>OfficeForms.Table[[#This Row],[ต้องคืนเงิน/ Credit note ลูกค้าหรือไม่]]</f>
        <v>0</v>
      </c>
      <c r="R27" s="19">
        <f>OfficeForms.Table[[#This Row],[Invoice'#/ Prepayment'#]]</f>
        <v>0</v>
      </c>
      <c r="S27" s="19">
        <f>OfficeForms.Table[[#This Row],[วันที่รับเงิน]]</f>
        <v>0</v>
      </c>
      <c r="T27" s="19">
        <f>OfficeForms.Table[[#This Row],[ชำระโดย]]</f>
        <v>0</v>
      </c>
      <c r="U27" s="19">
        <f>OfficeForms.Table[[#This Row],[ต้อง Adjust หรือ คืนเงินลูกค้าทางช่องทางใด]]</f>
        <v>0</v>
      </c>
      <c r="V27" s="19">
        <f>OfficeForms.Table[[#This Row],[ชื่อรายการที่ต้องคืน และมูลค่า (รวม VAT)]]</f>
        <v>0</v>
      </c>
      <c r="W27" s="19" t="s">
        <v>603</v>
      </c>
      <c r="X27" s="19" t="s">
        <v>1131</v>
      </c>
      <c r="Y27" s="26">
        <v>45859</v>
      </c>
    </row>
    <row r="28" spans="1:25" ht="28.5" hidden="1" customHeight="1">
      <c r="A28" s="19">
        <f>OfficeForms.Table[[#This Row],[Id]]</f>
        <v>28</v>
      </c>
      <c r="B28" s="18">
        <f>OfficeForms.Table[[#This Row],[Start time]]</f>
        <v>45866.935868055603</v>
      </c>
      <c r="C28" s="18">
        <f>OfficeForms.Table[[#This Row],[Completion time]]</f>
        <v>45866.939594907402</v>
      </c>
      <c r="D28" s="19" t="str">
        <f>OfficeForms.Table[[#This Row],[Email]]</f>
        <v>anonymous</v>
      </c>
      <c r="E28" s="19">
        <f>OfficeForms.Table[[#This Row],[Name]]</f>
        <v>0</v>
      </c>
      <c r="F28" s="19" t="str">
        <f>OfficeForms.Table[[#This Row],[สาขาที่เข้ารับบริการ]]</f>
        <v>สาขาทองหล่อ</v>
      </c>
      <c r="G28" s="18">
        <f>OfficeForms.Table[[#This Row],[วันที่เกิดเหตุ]]</f>
        <v>45864</v>
      </c>
      <c r="H28" s="19" t="str">
        <f>OfficeForms.Table[[#This Row],[ชื่อสัตว์เลี้ยง หรือ HN สัตว์เลี้ยง]]</f>
        <v>มะขาม ไข่ตุ๋น</v>
      </c>
      <c r="I28" s="19" t="str">
        <f>OfficeForms.Table[[#This Row],[ชื่อผู้ร้องเรียน]]</f>
        <v>ภานุภัทท์</v>
      </c>
      <c r="J28" s="19" t="str">
        <f>OfficeForms.Table[[#This Row],[เบอร์โทรศัพท์ผู้ร้องเรียน]]</f>
        <v>0958482960</v>
      </c>
      <c r="K28" s="19">
        <f>OfficeForms.Table[[#This Row],[หน่วยงานที่ถูกร้องเรียน]]</f>
        <v>0</v>
      </c>
      <c r="L28" s="19" t="s">
        <v>842</v>
      </c>
      <c r="M28" s="19" t="str">
        <f>OfficeForms.Table[[#This Row],[รายละเอียดข้อร้องเรียน]]</f>
        <v>เคสมาปรึกษาทำหมัน หมอEVE เลือกใช้ตรวจเลือดแพ็กเกจทำหมัน แต่หมอแจ้งลูกค้าในห้องตรวจว่าสามารถจ่ายแยกกันได้ แต่ไม่สามารถจ่ายแยกได้ เนื่องจากซื้อแพ็กเกจ เคยแจ้งทีมหมอแล้ว ฝ่ายบัญชีของเจ้าของไม่โอเคกับการสื่อสารเป็นอย่างมาก ทำให้หน้างานโดนด่า</v>
      </c>
      <c r="N28" s="19" t="str">
        <f>OfficeForms.Table[[#This Row],[การแก้ไขเบื้องต้น (ถ้ามี)]]</f>
        <v>ขอโทษลูกค้า และเก็บตามที่หมอแจ้ง</v>
      </c>
      <c r="O28" s="19" t="str">
        <f>OfficeForms.Table[[#This Row],[รหัสพนักงานผู้รายงาน (เพื่อสอบถามข้อมูลเพิ่มเติม)]]</f>
        <v>.</v>
      </c>
      <c r="P28" s="19" t="str">
        <f>OfficeForms.Table[[#This Row],[ชื่อพนักงานที่อยู่ในเหตุการณ์]]</f>
        <v>บอส</v>
      </c>
      <c r="Q28" s="19">
        <f>OfficeForms.Table[[#This Row],[ต้องคืนเงิน/ Credit note ลูกค้าหรือไม่]]</f>
        <v>0</v>
      </c>
      <c r="R28" s="19">
        <f>OfficeForms.Table[[#This Row],[Invoice'#/ Prepayment'#]]</f>
        <v>0</v>
      </c>
      <c r="S28" s="19">
        <f>OfficeForms.Table[[#This Row],[วันที่รับเงิน]]</f>
        <v>0</v>
      </c>
      <c r="T28" s="19">
        <f>OfficeForms.Table[[#This Row],[ชำระโดย]]</f>
        <v>0</v>
      </c>
      <c r="U28" s="19">
        <f>OfficeForms.Table[[#This Row],[ต้อง Adjust หรือ คืนเงินลูกค้าทางช่องทางใด]]</f>
        <v>0</v>
      </c>
      <c r="V28" s="19">
        <f>OfficeForms.Table[[#This Row],[ชื่อรายการที่ต้องคืน และมูลค่า (รวม VAT)]]</f>
        <v>0</v>
      </c>
      <c r="W28" s="19" t="s">
        <v>842</v>
      </c>
      <c r="X28" s="19" t="s">
        <v>1131</v>
      </c>
      <c r="Y28" s="26">
        <v>45863</v>
      </c>
    </row>
    <row r="29" spans="1:25" ht="108.75" hidden="1" customHeight="1">
      <c r="A29" s="19">
        <f>OfficeForms.Table[[#This Row],[Id]]</f>
        <v>29</v>
      </c>
      <c r="B29" s="18">
        <f>OfficeForms.Table[[#This Row],[Start time]]</f>
        <v>45867.408738425896</v>
      </c>
      <c r="C29" s="18">
        <f>OfficeForms.Table[[#This Row],[Completion time]]</f>
        <v>45867.418287036999</v>
      </c>
      <c r="D29" s="19" t="str">
        <f>OfficeForms.Table[[#This Row],[Email]]</f>
        <v>anonymous</v>
      </c>
      <c r="E29" s="19">
        <f>OfficeForms.Table[[#This Row],[Name]]</f>
        <v>0</v>
      </c>
      <c r="F29" s="19" t="str">
        <f>OfficeForms.Table[[#This Row],[สาขาที่เข้ารับบริการ]]</f>
        <v>สาขาทองหล่อ</v>
      </c>
      <c r="G29" s="18">
        <f>OfficeForms.Table[[#This Row],[วันที่เกิดเหตุ]]</f>
        <v>45867</v>
      </c>
      <c r="H29" s="19" t="str">
        <f>OfficeForms.Table[[#This Row],[ชื่อสัตว์เลี้ยง หรือ HN สัตว์เลี้ยง]]</f>
        <v>Vino (7813)</v>
      </c>
      <c r="I29" s="19" t="str">
        <f>OfficeForms.Table[[#This Row],[ชื่อผู้ร้องเรียน]]</f>
        <v>คุณอภิชญา บวรเศรษฐนันท์ (5600)</v>
      </c>
      <c r="J29" s="19" t="str">
        <f>OfficeForms.Table[[#This Row],[เบอร์โทรศัพท์ผู้ร้องเรียน]]</f>
        <v>081-8293739</v>
      </c>
      <c r="K29" s="19">
        <f>OfficeForms.Table[[#This Row],[หน่วยงานที่ถูกร้องเรียน]]</f>
        <v>0</v>
      </c>
      <c r="L29" s="19" t="s">
        <v>576</v>
      </c>
      <c r="M29" s="19" t="str">
        <f>OfficeForms.Table[[#This Row],[รายละเอียดข้อร้องเรียน]]</f>
        <v>ลูกค้าพาน้องมาหาหมอเพราะไปเหยียบอะไรมาไม่รู้แล้วยกขาตลอดเลย แต่ไม่มีเลือดไหลไม่เห็นแผล หมอยังไม่สะดวกรับ เพราะติดเคสที่Wardอยู่ ให้รอหมอOPD เช้า ทำให้ลูกค้าไม่พอใจ ไม่สะดวกรอ และเดินกลับออกไปเลย</v>
      </c>
      <c r="N29" s="19" t="str">
        <f>OfficeForms.Table[[#This Row],[การแก้ไขเบื้องต้น (ถ้ามี)]]</f>
        <v>Front แจ้งลูกค้าว่าหมอติดเคสหนักที่Ward อยู่ เดี๋ยวมีหมออีกท่านมา8 โมง</v>
      </c>
      <c r="O29" s="19" t="str">
        <f>OfficeForms.Table[[#This Row],[รหัสพนักงานผู้รายงาน (เพื่อสอบถามข้อมูลเพิ่มเติม)]]</f>
        <v>0190</v>
      </c>
      <c r="P29" s="19" t="str">
        <f>OfficeForms.Table[[#This Row],[ชื่อพนักงานที่อยู่ในเหตุการณ์]]</f>
        <v>Front ธันน์ VET หมอSY</v>
      </c>
      <c r="Q29" s="19">
        <f>OfficeForms.Table[[#This Row],[ต้องคืนเงิน/ Credit note ลูกค้าหรือไม่]]</f>
        <v>0</v>
      </c>
      <c r="R29" s="19">
        <f>OfficeForms.Table[[#This Row],[Invoice'#/ Prepayment'#]]</f>
        <v>0</v>
      </c>
      <c r="S29" s="19">
        <f>OfficeForms.Table[[#This Row],[วันที่รับเงิน]]</f>
        <v>0</v>
      </c>
      <c r="T29" s="19">
        <f>OfficeForms.Table[[#This Row],[ชำระโดย]]</f>
        <v>0</v>
      </c>
      <c r="U29" s="19">
        <f>OfficeForms.Table[[#This Row],[ต้อง Adjust หรือ คืนเงินลูกค้าทางช่องทางใด]]</f>
        <v>0</v>
      </c>
      <c r="V29" s="19">
        <f>OfficeForms.Table[[#This Row],[ชื่อรายการที่ต้องคืน และมูลค่า (รวม VAT)]]</f>
        <v>0</v>
      </c>
      <c r="W29" s="19" t="s">
        <v>576</v>
      </c>
      <c r="X29" s="19" t="s">
        <v>1131</v>
      </c>
      <c r="Y29" s="26">
        <v>45864</v>
      </c>
    </row>
    <row r="30" spans="1:25" ht="84" hidden="1" customHeight="1">
      <c r="A30" s="19">
        <f>OfficeForms.Table[[#This Row],[Id]]</f>
        <v>30</v>
      </c>
      <c r="B30" s="18">
        <f>OfficeForms.Table[[#This Row],[Start time]]</f>
        <v>45868.634490740696</v>
      </c>
      <c r="C30" s="18">
        <f>OfficeForms.Table[[#This Row],[Completion time]]</f>
        <v>45868.637152777803</v>
      </c>
      <c r="D30" s="19" t="str">
        <f>OfficeForms.Table[[#This Row],[Email]]</f>
        <v>anonymous</v>
      </c>
      <c r="E30" s="19">
        <f>OfficeForms.Table[[#This Row],[Name]]</f>
        <v>0</v>
      </c>
      <c r="F30" s="19" t="str">
        <f>OfficeForms.Table[[#This Row],[สาขาที่เข้ารับบริการ]]</f>
        <v>สาขาภูเก็ต</v>
      </c>
      <c r="G30" s="18">
        <f>OfficeForms.Table[[#This Row],[วันที่เกิดเหตุ]]</f>
        <v>45856</v>
      </c>
      <c r="H30" s="19" t="str">
        <f>OfficeForms.Table[[#This Row],[ชื่อสัตว์เลี้ยง หรือ HN สัตว์เลี้ยง]]</f>
        <v>กุชชี่ 13558</v>
      </c>
      <c r="I30" s="19" t="str">
        <f>OfficeForms.Table[[#This Row],[ชื่อผู้ร้องเรียน]]</f>
        <v>จิดาภา โลหะนวกุล</v>
      </c>
      <c r="J30" s="19" t="str">
        <f>OfficeForms.Table[[#This Row],[เบอร์โทรศัพท์ผู้ร้องเรียน]]</f>
        <v>0842535137</v>
      </c>
      <c r="K30" s="19">
        <f>OfficeForms.Table[[#This Row],[หน่วยงานที่ถูกร้องเรียน]]</f>
        <v>0</v>
      </c>
      <c r="L30" s="19" t="s">
        <v>587</v>
      </c>
      <c r="M30" s="19" t="str">
        <f>OfficeForms.Table[[#This Row],[รายละเอียดข้อร้องเรียน]]</f>
        <v>หมอต้องการให้ส่งตรวจเพาะเชื้อแบคทีเรียซึ่งใช้ code “L-NB-Nabon BactCulture/Sense” ราคาตรวจ 1,000 บาท แต่ได้มีการกดคำสั่งใน Provet ผิดพลาดเป็น code “L-NB-Nabon Biopsy” ราคาตรวจ 1,600 บาท ตามคำสั่ง Laboratory request #23002 ถึงแม้จะได้ผลการตรวจถูกต้องอย่างที่ต้องการคือการเพาะเชื้อแบคทีเรีย แต่มีการคีย์ข้อมูลและเก็บเงินผิดพลาด จึงต้องการให้ลบคำสั่งที่ผิดไปดังกล่าว แล้วแก้ไขคำสั่งที่ถูกต้องใหม่ ลูกค้ามีความประสงค์ให้เก็บยอด 600 บาทไว้เป็นเครดิตในระบบเพื่อใช้ในนัดหมายครั้งถัดไป</v>
      </c>
      <c r="N30" s="19" t="str">
        <f>OfficeForms.Table[[#This Row],[การแก้ไขเบื้องต้น (ถ้ามี)]]</f>
        <v>โทรแจ้งลูกค้าและขอโทษ เสนอทางเลือกเก็บเป็น credit ไว้ซึ่งเจ้าของตกลง ในอนาคตต้องมีความระมัดระวังเรื่องการคีย์คำสั่งข้อมูลให้มากกว่านี้ ตอนนี้ทำ memo ส่งทางบัญชีแล้วค่ะ</v>
      </c>
      <c r="O30" s="19" t="str">
        <f>OfficeForms.Table[[#This Row],[รหัสพนักงานผู้รายงาน (เพื่อสอบถามข้อมูลเพิ่มเติม)]]</f>
        <v>1044</v>
      </c>
      <c r="P30" s="19" t="str">
        <f>OfficeForms.Table[[#This Row],[ชื่อพนักงานที่อยู่ในเหตุการณ์]]</f>
        <v>จิดาภา</v>
      </c>
      <c r="Q30" s="19">
        <f>OfficeForms.Table[[#This Row],[ต้องคืนเงิน/ Credit note ลูกค้าหรือไม่]]</f>
        <v>0</v>
      </c>
      <c r="R30" s="19">
        <f>OfficeForms.Table[[#This Row],[Invoice'#/ Prepayment'#]]</f>
        <v>0</v>
      </c>
      <c r="S30" s="19">
        <f>OfficeForms.Table[[#This Row],[วันที่รับเงิน]]</f>
        <v>0</v>
      </c>
      <c r="T30" s="19">
        <f>OfficeForms.Table[[#This Row],[ชำระโดย]]</f>
        <v>0</v>
      </c>
      <c r="U30" s="19">
        <f>OfficeForms.Table[[#This Row],[ต้อง Adjust หรือ คืนเงินลูกค้าทางช่องทางใด]]</f>
        <v>0</v>
      </c>
      <c r="V30" s="19">
        <f>OfficeForms.Table[[#This Row],[ชื่อรายการที่ต้องคืน และมูลค่า (รวม VAT)]]</f>
        <v>0</v>
      </c>
      <c r="W30" s="19" t="s">
        <v>587</v>
      </c>
      <c r="X30" s="19" t="s">
        <v>1135</v>
      </c>
      <c r="Y30" s="26">
        <v>45867</v>
      </c>
    </row>
    <row r="31" spans="1:25" ht="28.5" hidden="1" customHeight="1">
      <c r="A31" s="19">
        <f>OfficeForms.Table[[#This Row],[Id]]</f>
        <v>31</v>
      </c>
      <c r="B31" s="18">
        <f>OfficeForms.Table[[#This Row],[Start time]]</f>
        <v>45868.7035763889</v>
      </c>
      <c r="C31" s="18">
        <f>OfficeForms.Table[[#This Row],[Completion time]]</f>
        <v>45868.705717592602</v>
      </c>
      <c r="D31" s="19" t="str">
        <f>OfficeForms.Table[[#This Row],[Email]]</f>
        <v>anonymous</v>
      </c>
      <c r="E31" s="19">
        <f>OfficeForms.Table[[#This Row],[Name]]</f>
        <v>0</v>
      </c>
      <c r="F31" s="19" t="str">
        <f>OfficeForms.Table[[#This Row],[สาขาที่เข้ารับบริการ]]</f>
        <v>สาขาภูเก็ต</v>
      </c>
      <c r="G31" s="18">
        <f>OfficeForms.Table[[#This Row],[วันที่เกิดเหตุ]]</f>
        <v>45867</v>
      </c>
      <c r="H31" s="19" t="str">
        <f>OfficeForms.Table[[#This Row],[ชื่อสัตว์เลี้ยง หรือ HN สัตว์เลี้ยง]]</f>
        <v>นมสด 14145</v>
      </c>
      <c r="I31" s="19" t="str">
        <f>OfficeForms.Table[[#This Row],[ชื่อผู้ร้องเรียน]]</f>
        <v>คุณอนัญญา</v>
      </c>
      <c r="J31" s="19" t="str">
        <f>OfficeForms.Table[[#This Row],[เบอร์โทรศัพท์ผู้ร้องเรียน]]</f>
        <v>0960505662</v>
      </c>
      <c r="K31" s="19">
        <f>OfficeForms.Table[[#This Row],[หน่วยงานที่ถูกร้องเรียน]]</f>
        <v>0</v>
      </c>
      <c r="L31" s="19" t="s">
        <v>1136</v>
      </c>
      <c r="M31" s="19" t="str">
        <f>OfficeForms.Table[[#This Row],[รายละเอียดข้อร้องเรียน]]</f>
        <v>ลูกค้าปฏิเสธการรักษาเนื่องจากค่ารักษา แมวได้รับการวินิจฉัยว่าเป็น FPV ซึ่งเป็นโรคไวรัสที่รุนแรง อัตราการเสียชีวิตสูง ค่ารักษาสูง ประเมินราคาแล้วลูกค้าไปต่อไม่ไหว</v>
      </c>
      <c r="N31" s="19" t="str">
        <f>OfficeForms.Table[[#This Row],[การแก้ไขเบื้องต้น (ถ้ามี)]]</f>
        <v>ให้ยากินเบื้องต้นและให้ใบรับรองแพทย์ที่ตรวจแล็บไป แนะนำให้ไปรักษาต่อคลินิกใกล้บ้านหรือที่ที่ลูกค้ารับราคาไหว</v>
      </c>
      <c r="O31" s="19" t="str">
        <f>OfficeForms.Table[[#This Row],[รหัสพนักงานผู้รายงาน (เพื่อสอบถามข้อมูลเพิ่มเติม)]]</f>
        <v>จิดาภา 1044</v>
      </c>
      <c r="P31" s="19" t="str">
        <f>OfficeForms.Table[[#This Row],[ชื่อพนักงานที่อยู่ในเหตุการณ์]]</f>
        <v>หมอ JL และพยาบาลแมว พยาบาลตี๋</v>
      </c>
      <c r="Q31" s="19">
        <f>OfficeForms.Table[[#This Row],[ต้องคืนเงิน/ Credit note ลูกค้าหรือไม่]]</f>
        <v>0</v>
      </c>
      <c r="R31" s="19">
        <f>OfficeForms.Table[[#This Row],[Invoice'#/ Prepayment'#]]</f>
        <v>0</v>
      </c>
      <c r="S31" s="19">
        <f>OfficeForms.Table[[#This Row],[วันที่รับเงิน]]</f>
        <v>0</v>
      </c>
      <c r="T31" s="19">
        <f>OfficeForms.Table[[#This Row],[ชำระโดย]]</f>
        <v>0</v>
      </c>
      <c r="U31" s="19">
        <f>OfficeForms.Table[[#This Row],[ต้อง Adjust หรือ คืนเงินลูกค้าทางช่องทางใด]]</f>
        <v>0</v>
      </c>
      <c r="V31" s="19">
        <f>OfficeForms.Table[[#This Row],[ชื่อรายการที่ต้องคืน และมูลค่า (รวม VAT)]]</f>
        <v>0</v>
      </c>
      <c r="W31" s="19" t="s">
        <v>1136</v>
      </c>
      <c r="Y31" s="19"/>
    </row>
    <row r="32" spans="1:25" ht="28.5" hidden="1" customHeight="1">
      <c r="A32" s="19">
        <f>OfficeForms.Table[[#This Row],[Id]]</f>
        <v>33</v>
      </c>
      <c r="B32" s="18">
        <f>OfficeForms.Table[[#This Row],[Start time]]</f>
        <v>45872.649675925903</v>
      </c>
      <c r="C32" s="18">
        <f>OfficeForms.Table[[#This Row],[Completion time]]</f>
        <v>45872.713935185202</v>
      </c>
      <c r="D32" s="19" t="str">
        <f>OfficeForms.Table[[#This Row],[Email]]</f>
        <v>anonymous</v>
      </c>
      <c r="E32" s="19">
        <f>OfficeForms.Table[[#This Row],[Name]]</f>
        <v>0</v>
      </c>
      <c r="F32" s="19" t="str">
        <f>OfficeForms.Table[[#This Row],[สาขาที่เข้ารับบริการ]]</f>
        <v>สาขาภูเก็ต</v>
      </c>
      <c r="G32" s="18">
        <f>OfficeForms.Table[[#This Row],[วันที่เกิดเหตุ]]</f>
        <v>45871</v>
      </c>
      <c r="H32" s="19" t="str">
        <f>OfficeForms.Table[[#This Row],[ชื่อสัตว์เลี้ยง หรือ HN สัตว์เลี้ยง]]</f>
        <v>Lily 10804</v>
      </c>
      <c r="I32" s="19" t="str">
        <f>OfficeForms.Table[[#This Row],[ชื่อผู้ร้องเรียน]]</f>
        <v>จิดาภา โลหะนวกุล</v>
      </c>
      <c r="J32" s="19" t="str">
        <f>OfficeForms.Table[[#This Row],[เบอร์โทรศัพท์ผู้ร้องเรียน]]</f>
        <v>0842535137</v>
      </c>
      <c r="K32" s="19">
        <f>OfficeForms.Table[[#This Row],[หน่วยงานที่ถูกร้องเรียน]]</f>
        <v>0</v>
      </c>
      <c r="L32" s="19" t="s">
        <v>644</v>
      </c>
      <c r="M32" s="19" t="str">
        <f>OfficeForms.Table[[#This Row],[รายละเอียดข้อร้องเรียน]]</f>
        <v>ลูกค้าต้องการคืนเงินมัดจำ เนื่องจากตอนแรกวางมัดจำไว้สำหรับตรวจเลือดและทำหมัน ภายหลังเปลี่ยนใจไม่ต้องการทำหมันแล้วแต่ให้ตรวจเลือดเฉยๆ ทำให้หลังหักลบกันมียอดคงเหลือในระบบ ลูกค้าต้องการให้โอนคืนทั้งหมด โดยแจ้งว่าไม่สะดวกด้านค่าใช้จ่ายแล้ว ทั้งที่ตอนเช้าคุยกับหมอตกลงเรื่องราคาเรียบร้อยแล้วก่อนลูกค้าจะไปวางเงินมัดจำ</v>
      </c>
      <c r="N32" s="19">
        <f>OfficeForms.Table[[#This Row],[การแก้ไขเบื้องต้น (ถ้ามี)]]</f>
        <v>0</v>
      </c>
      <c r="O32" s="19" t="str">
        <f>OfficeForms.Table[[#This Row],[รหัสพนักงานผู้รายงาน (เพื่อสอบถามข้อมูลเพิ่มเติม)]]</f>
        <v>1044</v>
      </c>
      <c r="P32" s="19" t="str">
        <f>OfficeForms.Table[[#This Row],[ชื่อพนักงานที่อยู่ในเหตุการณ์]]</f>
        <v>หมอ JR, ฟร้อนโม</v>
      </c>
      <c r="Q32" s="19" t="str">
        <f>OfficeForms.Table[[#This Row],[ต้องคืนเงิน/ Credit note ลูกค้าหรือไม่]]</f>
        <v>ต้อง</v>
      </c>
      <c r="R32" s="19" t="str">
        <f>OfficeForms.Table[[#This Row],[Invoice'#/ Prepayment'#]]</f>
        <v>41250004369</v>
      </c>
      <c r="S32" s="19">
        <f>OfficeForms.Table[[#This Row],[วันที่รับเงิน]]</f>
        <v>0</v>
      </c>
      <c r="T32" s="19">
        <f>OfficeForms.Table[[#This Row],[ชำระโดย]]</f>
        <v>0</v>
      </c>
      <c r="U32" s="19">
        <f>OfficeForms.Table[[#This Row],[ต้อง Adjust หรือ คืนเงินลูกค้าทางช่องทางใด]]</f>
        <v>0</v>
      </c>
      <c r="V32" s="19" t="str">
        <f>OfficeForms.Table[[#This Row],[ชื่อรายการที่ต้องคืน และมูลค่า (รวม VAT)]]</f>
        <v xml:space="preserve">โอนเงินสดคืนจำนวน 4,982.50 </v>
      </c>
      <c r="W32" s="19" t="s">
        <v>644</v>
      </c>
      <c r="Y32" s="19"/>
    </row>
    <row r="33" spans="1:25" ht="28.5" hidden="1" customHeight="1">
      <c r="A33" s="19">
        <f>OfficeForms.Table[[#This Row],[Id]]</f>
        <v>34</v>
      </c>
      <c r="B33" s="18">
        <f>OfficeForms.Table[[#This Row],[Start time]]</f>
        <v>45873.510092592602</v>
      </c>
      <c r="C33" s="18">
        <f>OfficeForms.Table[[#This Row],[Completion time]]</f>
        <v>45873.518101851798</v>
      </c>
      <c r="D33" s="19" t="str">
        <f>OfficeForms.Table[[#This Row],[Email]]</f>
        <v>anonymous</v>
      </c>
      <c r="E33" s="19">
        <f>OfficeForms.Table[[#This Row],[Name]]</f>
        <v>0</v>
      </c>
      <c r="F33" s="19" t="str">
        <f>OfficeForms.Table[[#This Row],[สาขาที่เข้ารับบริการ]]</f>
        <v>สาขาภูเก็ต</v>
      </c>
      <c r="G33" s="18">
        <f>OfficeForms.Table[[#This Row],[วันที่เกิดเหตุ]]</f>
        <v>45873</v>
      </c>
      <c r="H33" s="19" t="str">
        <f>OfficeForms.Table[[#This Row],[ชื่อสัตว์เลี้ยง หรือ HN สัตว์เลี้ยง]]</f>
        <v>5303 / 5304</v>
      </c>
      <c r="I33" s="19" t="str">
        <f>OfficeForms.Table[[#This Row],[ชื่อผู้ร้องเรียน]]</f>
        <v>จุฑามาศ อาจสามารถ</v>
      </c>
      <c r="J33" s="19" t="str">
        <f>OfficeForms.Table[[#This Row],[เบอร์โทรศัพท์ผู้ร้องเรียน]]</f>
        <v>0980282330</v>
      </c>
      <c r="K33" s="19">
        <f>OfficeForms.Table[[#This Row],[หน่วยงานที่ถูกร้องเรียน]]</f>
        <v>0</v>
      </c>
      <c r="L33" s="19" t="s">
        <v>644</v>
      </c>
      <c r="M33" s="19" t="str">
        <f>OfficeForms.Table[[#This Row],[รายละเอียดข้อร้องเรียน]]</f>
        <v>ลูกค้าพาหมามาทำหมัน 2 ตัว ในวันกลับลูกค้าแจ้งว่าจะมารับเลทแอดมินจึงแจ้งว่าหากเกินเวลาแอดมิทจะมีค่าบริการเพิ่ม หลังจากนั้นลูกค้าทักมาเพื่อถามเรื่องราคา pet limo หลังจากแอดมินแจ้งราคาลุกค้าจึงโทรมาเพื่อถามว่าโรงพยาบาลคิดค่าทำหมันที่แพงมากแล้ว ไปรับเลทก็ต้องจ่ายเพิ่ม จะเอารถรับส่งก็ต้องจ่ายเพิ่มทั้งๆที่ระยะทางไม่ได้ไกลเลย (3.9 km) หลักๆคือการคอมเพลนเรื่องค่าใช้จ่ายที่แพงค่ะ</v>
      </c>
      <c r="N33" s="19" t="str">
        <f>OfficeForms.Table[[#This Row],[การแก้ไขเบื้องต้น (ถ้ามี)]]</f>
        <v>เบื้องต้นได้อธิบายในส่วนของการชาร์จราคาการมารับเลท และค่าบริการรถรับส่งไปแล้ว ลูกค้าแจ้งว่าเข้าใจ แต่คิดว่าคงเปลี่ยนโรงพยาบาล</v>
      </c>
      <c r="O33" s="19" t="str">
        <f>OfficeForms.Table[[#This Row],[รหัสพนักงานผู้รายงาน (เพื่อสอบถามข้อมูลเพิ่มเติม)]]</f>
        <v>0293</v>
      </c>
      <c r="P33" s="19" t="str">
        <f>OfficeForms.Table[[#This Row],[ชื่อพนักงานที่อยู่ในเหตุการณ์]]</f>
        <v>ศุภรัตน์ วงศ์พิพัฒน์เจริญ / รัญชิดา เทพแก้ว / พิศุทธิ์ สายชู</v>
      </c>
      <c r="Q33" s="19" t="str">
        <f>OfficeForms.Table[[#This Row],[ต้องคืนเงิน/ Credit note ลูกค้าหรือไม่]]</f>
        <v>ไม่ต้อง</v>
      </c>
      <c r="R33" s="19">
        <f>OfficeForms.Table[[#This Row],[Invoice'#/ Prepayment'#]]</f>
        <v>0</v>
      </c>
      <c r="S33" s="19">
        <f>OfficeForms.Table[[#This Row],[วันที่รับเงิน]]</f>
        <v>0</v>
      </c>
      <c r="T33" s="19">
        <f>OfficeForms.Table[[#This Row],[ชำระโดย]]</f>
        <v>0</v>
      </c>
      <c r="U33" s="19">
        <f>OfficeForms.Table[[#This Row],[ต้อง Adjust หรือ คืนเงินลูกค้าทางช่องทางใด]]</f>
        <v>0</v>
      </c>
      <c r="V33" s="19">
        <f>OfficeForms.Table[[#This Row],[ชื่อรายการที่ต้องคืน และมูลค่า (รวม VAT)]]</f>
        <v>0</v>
      </c>
      <c r="W33" s="19" t="s">
        <v>644</v>
      </c>
      <c r="Y33" s="19"/>
    </row>
    <row r="34" spans="1:25" ht="28.5" hidden="1" customHeight="1">
      <c r="A34" s="19">
        <f>OfficeForms.Table[[#This Row],[Id]]</f>
        <v>35</v>
      </c>
      <c r="B34" s="18">
        <f>OfficeForms.Table[[#This Row],[Start time]]</f>
        <v>45875.445439814801</v>
      </c>
      <c r="C34" s="18">
        <f>OfficeForms.Table[[#This Row],[Completion time]]</f>
        <v>45875.447939814803</v>
      </c>
      <c r="D34" s="19" t="str">
        <f>OfficeForms.Table[[#This Row],[Email]]</f>
        <v>anonymous</v>
      </c>
      <c r="E34" s="19">
        <f>OfficeForms.Table[[#This Row],[Name]]</f>
        <v>0</v>
      </c>
      <c r="F34" s="19" t="str">
        <f>OfficeForms.Table[[#This Row],[สาขาที่เข้ารับบริการ]]</f>
        <v>สาขาทองหล่อ</v>
      </c>
      <c r="G34" s="18">
        <f>OfficeForms.Table[[#This Row],[วันที่เกิดเหตุ]]</f>
        <v>45875</v>
      </c>
      <c r="H34" s="19" t="str">
        <f>OfficeForms.Table[[#This Row],[ชื่อสัตว์เลี้ยง หรือ HN สัตว์เลี้ยง]]</f>
        <v>HN 2984</v>
      </c>
      <c r="I34" s="19" t="str">
        <f>OfficeForms.Table[[#This Row],[ชื่อผู้ร้องเรียน]]</f>
        <v>คุณหรัณย์ พรรณพานิช</v>
      </c>
      <c r="J34" s="19" t="str">
        <f>OfficeForms.Table[[#This Row],[เบอร์โทรศัพท์ผู้ร้องเรียน]]</f>
        <v>085 666 5366</v>
      </c>
      <c r="K34" s="19" t="str">
        <f>OfficeForms.Table[[#This Row],[หน่วยงานที่ถูกร้องเรียน]]</f>
        <v>FRONT</v>
      </c>
      <c r="L34" s="19" t="s">
        <v>644</v>
      </c>
      <c r="M34" s="19" t="str">
        <f>OfficeForms.Table[[#This Row],[รายละเอียดข้อร้องเรียน]]</f>
        <v>ไม่ได้แจ้งเจ้าของว่าจะมีค่าฝากเลี้ยงหลังจากพบหมอ</v>
      </c>
      <c r="N34" s="19" t="str">
        <f>OfficeForms.Table[[#This Row],[การแก้ไขเบื้องต้น (ถ้ามี)]]</f>
        <v>พี่ฝน(คุณพันธ์) โทรไปขอโทษ และให้ฝากเลี้ยงโดยไม่มีค่าใช้จ่าย เนื่องจากทางเราไม่ได้แจ้งเจ้าของก่อน</v>
      </c>
      <c r="O34" s="19" t="str">
        <f>OfficeForms.Table[[#This Row],[รหัสพนักงานผู้รายงาน (เพื่อสอบถามข้อมูลเพิ่มเติม)]]</f>
        <v>0190</v>
      </c>
      <c r="P34" s="19" t="str">
        <f>OfficeForms.Table[[#This Row],[ชื่อพนักงานที่อยู่ในเหตุการณ์]]</f>
        <v>แพรวาFront</v>
      </c>
      <c r="Q34" s="19" t="str">
        <f>OfficeForms.Table[[#This Row],[ต้องคืนเงิน/ Credit note ลูกค้าหรือไม่]]</f>
        <v>ไม่ต้อง</v>
      </c>
      <c r="R34" s="19">
        <f>OfficeForms.Table[[#This Row],[Invoice'#/ Prepayment'#]]</f>
        <v>0</v>
      </c>
      <c r="S34" s="19">
        <f>OfficeForms.Table[[#This Row],[วันที่รับเงิน]]</f>
        <v>0</v>
      </c>
      <c r="T34" s="19">
        <f>OfficeForms.Table[[#This Row],[ชำระโดย]]</f>
        <v>0</v>
      </c>
      <c r="U34" s="19">
        <f>OfficeForms.Table[[#This Row],[ต้อง Adjust หรือ คืนเงินลูกค้าทางช่องทางใด]]</f>
        <v>0</v>
      </c>
      <c r="V34" s="19">
        <f>OfficeForms.Table[[#This Row],[ชื่อรายการที่ต้องคืน และมูลค่า (รวม VAT)]]</f>
        <v>0</v>
      </c>
      <c r="W34" s="19" t="s">
        <v>644</v>
      </c>
      <c r="Y34" s="19"/>
    </row>
    <row r="35" spans="1:25" ht="28.5" hidden="1" customHeight="1">
      <c r="A35" s="19">
        <f>OfficeForms.Table[[#This Row],[Id]]</f>
        <v>36</v>
      </c>
      <c r="B35" s="18">
        <f>OfficeForms.Table[[#This Row],[Start time]]</f>
        <v>45876.866990740702</v>
      </c>
      <c r="C35" s="18">
        <f>OfficeForms.Table[[#This Row],[Completion time]]</f>
        <v>45876.869699074101</v>
      </c>
      <c r="D35" s="19" t="str">
        <f>OfficeForms.Table[[#This Row],[Email]]</f>
        <v>anonymous</v>
      </c>
      <c r="E35" s="19">
        <f>OfficeForms.Table[[#This Row],[Name]]</f>
        <v>0</v>
      </c>
      <c r="F35" s="19" t="str">
        <f>OfficeForms.Table[[#This Row],[สาขาที่เข้ารับบริการ]]</f>
        <v>สาขาเพชรเกษม</v>
      </c>
      <c r="G35" s="18">
        <f>OfficeForms.Table[[#This Row],[วันที่เกิดเหตุ]]</f>
        <v>45823</v>
      </c>
      <c r="H35" s="19" t="str">
        <f>OfficeForms.Table[[#This Row],[ชื่อสัตว์เลี้ยง หรือ HN สัตว์เลี้ยง]]</f>
        <v>Rolex</v>
      </c>
      <c r="I35" s="19" t="str">
        <f>OfficeForms.Table[[#This Row],[ชื่อผู้ร้องเรียน]]</f>
        <v>Waranon</v>
      </c>
      <c r="J35" s="19" t="str">
        <f>OfficeForms.Table[[#This Row],[เบอร์โทรศัพท์ผู้ร้องเรียน]]</f>
        <v>0925619940</v>
      </c>
      <c r="K35" s="19" t="str">
        <f>OfficeForms.Table[[#This Row],[หน่วยงานที่ถูกร้องเรียน]]</f>
        <v>GROOMING</v>
      </c>
      <c r="L35" s="19" t="s">
        <v>576</v>
      </c>
      <c r="M35" s="19" t="str">
        <f>OfficeForms.Table[[#This Row],[รายละเอียดข้อร้องเรียน]]</f>
        <v>ช่างอาบน้ำไวมากใช้เวลาแค่30นาที แต่พันธุ์นี่ต้องใช้เวลา1.30ชม</v>
      </c>
      <c r="N35" s="19" t="str">
        <f>OfficeForms.Table[[#This Row],[การแก้ไขเบื้องต้น (ถ้ามี)]]</f>
        <v>ว่ากล่าวตักเตือนเรียบร้อยและให้จับเวลาในการอาบน้ำ รวมภึงให้ฟร้อนและพยาบาลช่วยกันดู หลังอาบ ให้หมอรีเชคอีกที</v>
      </c>
      <c r="O35" s="19" t="str">
        <f>OfficeForms.Table[[#This Row],[รหัสพนักงานผู้รายงาน (เพื่อสอบถามข้อมูลเพิ่มเติม)]]</f>
        <v>0191</v>
      </c>
      <c r="P35" s="19" t="str">
        <f>OfficeForms.Table[[#This Row],[ชื่อพนักงานที่อยู่ในเหตุการณ์]]</f>
        <v>Chama</v>
      </c>
      <c r="Q35" s="19" t="str">
        <f>OfficeForms.Table[[#This Row],[ต้องคืนเงิน/ Credit note ลูกค้าหรือไม่]]</f>
        <v>ต้อง</v>
      </c>
      <c r="R35" s="19" t="str">
        <f>OfficeForms.Table[[#This Row],[Invoice'#/ Prepayment'#]]</f>
        <v>51250002182</v>
      </c>
      <c r="S35" s="19">
        <f>OfficeForms.Table[[#This Row],[วันที่รับเงิน]]</f>
        <v>0</v>
      </c>
      <c r="T35" s="19">
        <f>OfficeForms.Table[[#This Row],[ชำระโดย]]</f>
        <v>0</v>
      </c>
      <c r="U35" s="19" t="str">
        <f>OfficeForms.Table[[#This Row],[ต้อง Adjust หรือ คืนเงินลูกค้าทางช่องทางใด]]</f>
        <v>Credit note</v>
      </c>
      <c r="V35" s="19" t="str">
        <f>OfficeForms.Table[[#This Row],[ชื่อรายการที่ต้องคืน และมูลค่า (รวม VAT)]]</f>
        <v>ค่ารักษาหลังจากที่มาอาบน้ำเพื่อแสดงความรับผิดชอบ</v>
      </c>
      <c r="W35" s="19" t="s">
        <v>576</v>
      </c>
      <c r="X35" s="19" t="s">
        <v>1131</v>
      </c>
      <c r="Y35" s="26">
        <v>45875</v>
      </c>
    </row>
    <row r="36" spans="1:25" ht="28.5" hidden="1" customHeight="1">
      <c r="A36" s="19">
        <f>OfficeForms.Table[[#This Row],[Id]]</f>
        <v>37</v>
      </c>
      <c r="B36" s="18">
        <f>OfficeForms.Table[[#This Row],[Start time]]</f>
        <v>45877.342650462997</v>
      </c>
      <c r="C36" s="18">
        <f>OfficeForms.Table[[#This Row],[Completion time]]</f>
        <v>45877.345775463</v>
      </c>
      <c r="D36" s="19" t="str">
        <f>OfficeForms.Table[[#This Row],[Email]]</f>
        <v>anonymous</v>
      </c>
      <c r="E36" s="19">
        <f>OfficeForms.Table[[#This Row],[Name]]</f>
        <v>0</v>
      </c>
      <c r="F36" s="19" t="str">
        <f>OfficeForms.Table[[#This Row],[สาขาที่เข้ารับบริการ]]</f>
        <v>สาขาทองหล่อ</v>
      </c>
      <c r="G36" s="18">
        <f>OfficeForms.Table[[#This Row],[วันที่เกิดเหตุ]]</f>
        <v>45871</v>
      </c>
      <c r="H36" s="19" t="str">
        <f>OfficeForms.Table[[#This Row],[ชื่อสัตว์เลี้ยง หรือ HN สัตว์เลี้ยง]]</f>
        <v>Rocky (4256)</v>
      </c>
      <c r="I36" s="19" t="str">
        <f>OfficeForms.Table[[#This Row],[ชื่อผู้ร้องเรียน]]</f>
        <v>Tim Ho  (3090)</v>
      </c>
      <c r="J36" s="19" t="str">
        <f>OfficeForms.Table[[#This Row],[เบอร์โทรศัพท์ผู้ร้องเรียน]]</f>
        <v>080 656 9100</v>
      </c>
      <c r="K36" s="19" t="str">
        <f>OfficeForms.Table[[#This Row],[หน่วยงานที่ถูกร้องเรียน]]</f>
        <v>VET</v>
      </c>
      <c r="M36" s="19" t="str">
        <f>OfficeForms.Table[[#This Row],[รายละเอียดข้อร้องเรียน]]</f>
        <v>คุณหมอมีการคีย์ค่าใช้จ่าย 	ค่าบริการเช็ดหู M (Vet) ในบิล โดยที่หมอมีการคีย์ ค่าบริการเช็ดหู S (Vet) มาแล้ว ทำให้ลูกค้าเสียค่าใช้จ่ายในบิลเพิ่ม 130 บาท</v>
      </c>
      <c r="N36" s="19" t="str">
        <f>OfficeForms.Table[[#This Row],[การแก้ไขเบื้องต้น (ถ้ามี)]]</f>
        <v>เก็บเงินลูกค้ามาตามบิล 2,766 บาท แล้วทำการ void ออก แล้วรับชำระใหม่ยอด 1,300 บาท</v>
      </c>
      <c r="O36" s="19" t="str">
        <f>OfficeForms.Table[[#This Row],[รหัสพนักงานผู้รายงาน (เพื่อสอบถามข้อมูลเพิ่มเติม)]]</f>
        <v>แพรวา</v>
      </c>
      <c r="P36" s="19" t="str">
        <f>OfficeForms.Table[[#This Row],[ชื่อพนักงานที่อยู่ในเหตุการณ์]]</f>
        <v>แพรวา</v>
      </c>
      <c r="Q36" s="19" t="str">
        <f>OfficeForms.Table[[#This Row],[ต้องคืนเงิน/ Credit note ลูกค้าหรือไม่]]</f>
        <v>ต้อง</v>
      </c>
      <c r="R36" s="19" t="str">
        <f>OfficeForms.Table[[#This Row],[Invoice'#/ Prepayment'#]]</f>
        <v>21250014586</v>
      </c>
      <c r="S36" s="19">
        <f>OfficeForms.Table[[#This Row],[วันที่รับเงิน]]</f>
        <v>45871</v>
      </c>
      <c r="T36" s="19" t="str">
        <f>OfficeForms.Table[[#This Row],[ชำระโดย]]</f>
        <v>Credit card</v>
      </c>
      <c r="U36" s="19" t="str">
        <f>OfficeForms.Table[[#This Row],[ต้อง Adjust หรือ คืนเงินลูกค้าทางช่องทางใด]]</f>
        <v>Credit note</v>
      </c>
      <c r="V36" s="19" t="str">
        <f>OfficeForms.Table[[#This Row],[ชื่อรายการที่ต้องคืน และมูลค่า (รวม VAT)]]</f>
        <v xml:space="preserve">	ค่าบริการเช็ดหู M (Vet) / ค่าบริการเช็ดหู M   130 บาท</v>
      </c>
      <c r="Y36" s="19"/>
    </row>
    <row r="37" spans="1:25" ht="28.5" hidden="1" customHeight="1">
      <c r="A37" s="19">
        <f>OfficeForms.Table[[#This Row],[Id]]</f>
        <v>38</v>
      </c>
      <c r="B37" s="18">
        <f>OfficeForms.Table[[#This Row],[Start time]]</f>
        <v>45877.604699074102</v>
      </c>
      <c r="C37" s="18">
        <f>OfficeForms.Table[[#This Row],[Completion time]]</f>
        <v>45877.607534722199</v>
      </c>
      <c r="D37" s="19" t="str">
        <f>OfficeForms.Table[[#This Row],[Email]]</f>
        <v>anonymous</v>
      </c>
      <c r="E37" s="19">
        <f>OfficeForms.Table[[#This Row],[Name]]</f>
        <v>0</v>
      </c>
      <c r="F37" s="19" t="str">
        <f>OfficeForms.Table[[#This Row],[สาขาที่เข้ารับบริการ]]</f>
        <v>สาขาทองหล่อ</v>
      </c>
      <c r="G37" s="18">
        <f>OfficeForms.Table[[#This Row],[วันที่เกิดเหตุ]]</f>
        <v>45876</v>
      </c>
      <c r="H37" s="19" t="str">
        <f>OfficeForms.Table[[#This Row],[ชื่อสัตว์เลี้ยง หรือ HN สัตว์เลี้ยง]]</f>
        <v>เฌอนุ่น 12794</v>
      </c>
      <c r="I37" s="19" t="str">
        <f>OfficeForms.Table[[#This Row],[ชื่อผู้ร้องเรียน]]</f>
        <v>ตูน</v>
      </c>
      <c r="J37" s="19" t="str">
        <f>OfficeForms.Table[[#This Row],[เบอร์โทรศัพท์ผู้ร้องเรียน]]</f>
        <v>094-9941670</v>
      </c>
      <c r="K37" s="19" t="str">
        <f>OfficeForms.Table[[#This Row],[หน่วยงานที่ถูกร้องเรียน]]</f>
        <v>NURSE IPD</v>
      </c>
      <c r="L37" s="19" t="s">
        <v>1129</v>
      </c>
      <c r="M37" s="19" t="str">
        <f>OfficeForms.Table[[#This Row],[รายละเอียดข้อร้องเรียน]]</f>
        <v>พยาบาลป้อนยาผิดตัว</v>
      </c>
      <c r="N37" s="19" t="str">
        <f>OfficeForms.Table[[#This Row],[การแก้ไขเบื้องต้น (ถ้ามี)]]</f>
        <v>ให้ลูกค้าพาน้องกลับมาแอกมิทให้น้ำเกลือและเช็คเลือด 7/8มีนัดเช็คเลือดซ้ำกับคุณหมอเจ้าของไข้</v>
      </c>
      <c r="O37" s="19" t="str">
        <f>OfficeForms.Table[[#This Row],[รหัสพนักงานผู้รายงาน (เพื่อสอบถามข้อมูลเพิ่มเติม)]]</f>
        <v>0288</v>
      </c>
      <c r="P37" s="19" t="str">
        <f>OfficeForms.Table[[#This Row],[ชื่อพนักงานที่อยู่ในเหตุการณ์]]</f>
        <v>ตูน</v>
      </c>
      <c r="Q37" s="19" t="str">
        <f>OfficeForms.Table[[#This Row],[ต้องคืนเงิน/ Credit note ลูกค้าหรือไม่]]</f>
        <v>ไม่ต้อง</v>
      </c>
      <c r="R37" s="19">
        <f>OfficeForms.Table[[#This Row],[Invoice'#/ Prepayment'#]]</f>
        <v>0</v>
      </c>
      <c r="S37" s="19">
        <f>OfficeForms.Table[[#This Row],[วันที่รับเงิน]]</f>
        <v>0</v>
      </c>
      <c r="T37" s="19">
        <f>OfficeForms.Table[[#This Row],[ชำระโดย]]</f>
        <v>0</v>
      </c>
      <c r="U37" s="19">
        <f>OfficeForms.Table[[#This Row],[ต้อง Adjust หรือ คืนเงินลูกค้าทางช่องทางใด]]</f>
        <v>0</v>
      </c>
      <c r="V37" s="19">
        <f>OfficeForms.Table[[#This Row],[ชื่อรายการที่ต้องคืน และมูลค่า (รวม VAT)]]</f>
        <v>0</v>
      </c>
      <c r="W37" s="19" t="s">
        <v>1129</v>
      </c>
      <c r="X37" s="19" t="s">
        <v>1134</v>
      </c>
      <c r="Y37" s="26">
        <v>45877</v>
      </c>
    </row>
    <row r="38" spans="1:25" ht="28.5" hidden="1" customHeight="1">
      <c r="A38" s="19">
        <f>OfficeForms.Table[[#This Row],[Id]]</f>
        <v>39</v>
      </c>
      <c r="B38" s="18">
        <f>OfficeForms.Table[[#This Row],[Start time]]</f>
        <v>45879.509525463</v>
      </c>
      <c r="C38" s="18">
        <f>OfficeForms.Table[[#This Row],[Completion time]]</f>
        <v>45879.513518518499</v>
      </c>
      <c r="D38" s="19" t="str">
        <f>OfficeForms.Table[[#This Row],[Email]]</f>
        <v>anonymous</v>
      </c>
      <c r="E38" s="19">
        <f>OfficeForms.Table[[#This Row],[Name]]</f>
        <v>0</v>
      </c>
      <c r="F38" s="19" t="str">
        <f>OfficeForms.Table[[#This Row],[สาขาที่เข้ารับบริการ]]</f>
        <v>สาขาทองหล่อ</v>
      </c>
      <c r="G38" s="18">
        <f>OfficeForms.Table[[#This Row],[วันที่เกิดเหตุ]]</f>
        <v>45879</v>
      </c>
      <c r="H38" s="19" t="str">
        <f>OfficeForms.Table[[#This Row],[ชื่อสัตว์เลี้ยง หรือ HN สัตว์เลี้ยง]]</f>
        <v>ไอติม HN 13290</v>
      </c>
      <c r="I38" s="19" t="str">
        <f>OfficeForms.Table[[#This Row],[ชื่อผู้ร้องเรียน]]</f>
        <v>คุณธิดารัตน์</v>
      </c>
      <c r="J38" s="19" t="str">
        <f>OfficeForms.Table[[#This Row],[เบอร์โทรศัพท์ผู้ร้องเรียน]]</f>
        <v>0819890958</v>
      </c>
      <c r="K38" s="19" t="str">
        <f>OfficeForms.Table[[#This Row],[หน่วยงานที่ถูกร้องเรียน]]</f>
        <v>FRONT</v>
      </c>
      <c r="L38" s="19" t="s">
        <v>580</v>
      </c>
      <c r="M38" s="19" t="str">
        <f>OfficeForms.Table[[#This Row],[รายละเอียดข้อร้องเรียน]]</f>
        <v>ไอติมมาเวลา 07.10 น. มีเลือดออกจากจมูก Front แจ้งว่าต้องรอหมอถึง 08.00 ลูกค้าไม่รอพาไปทองหล่อ</v>
      </c>
      <c r="N38" s="19" t="str">
        <f>OfficeForms.Table[[#This Row],[การแก้ไขเบื้องต้น (ถ้ามี)]]</f>
        <v>แพรวาโทรไปขอโทษลูกค้า</v>
      </c>
      <c r="O38" s="19" t="str">
        <f>OfficeForms.Table[[#This Row],[รหัสพนักงานผู้รายงาน (เพื่อสอบถามข้อมูลเพิ่มเติม)]]</f>
        <v>0219</v>
      </c>
      <c r="P38" s="19" t="str">
        <f>OfficeForms.Table[[#This Row],[ชื่อพนักงานที่อยู่ในเหตุการณ์]]</f>
        <v>แพรวา จ๋า</v>
      </c>
      <c r="Q38" s="19" t="str">
        <f>OfficeForms.Table[[#This Row],[ต้องคืนเงิน/ Credit note ลูกค้าหรือไม่]]</f>
        <v>ไม่ต้อง</v>
      </c>
      <c r="R38" s="19">
        <f>OfficeForms.Table[[#This Row],[Invoice'#/ Prepayment'#]]</f>
        <v>0</v>
      </c>
      <c r="S38" s="19">
        <f>OfficeForms.Table[[#This Row],[วันที่รับเงิน]]</f>
        <v>0</v>
      </c>
      <c r="T38" s="19">
        <f>OfficeForms.Table[[#This Row],[ชำระโดย]]</f>
        <v>0</v>
      </c>
      <c r="U38" s="19">
        <f>OfficeForms.Table[[#This Row],[ต้อง Adjust หรือ คืนเงินลูกค้าทางช่องทางใด]]</f>
        <v>0</v>
      </c>
      <c r="V38" s="19">
        <f>OfficeForms.Table[[#This Row],[ชื่อรายการที่ต้องคืน และมูลค่า (รวม VAT)]]</f>
        <v>0</v>
      </c>
      <c r="W38" s="19" t="s">
        <v>580</v>
      </c>
      <c r="X38" s="19" t="s">
        <v>1135</v>
      </c>
      <c r="Y38" s="26">
        <v>45878</v>
      </c>
    </row>
    <row r="39" spans="1:25" ht="67.5" hidden="1" customHeight="1">
      <c r="A39" s="19">
        <f>OfficeForms.Table[[#This Row],[Id]]</f>
        <v>40</v>
      </c>
      <c r="B39" s="18">
        <f>OfficeForms.Table[[#This Row],[Start time]]</f>
        <v>45880.4389814815</v>
      </c>
      <c r="C39" s="18">
        <f>OfficeForms.Table[[#This Row],[Completion time]]</f>
        <v>45880.443206018499</v>
      </c>
      <c r="D39" s="19" t="str">
        <f>OfficeForms.Table[[#This Row],[Email]]</f>
        <v>anonymous</v>
      </c>
      <c r="E39" s="19">
        <f>OfficeForms.Table[[#This Row],[Name]]</f>
        <v>0</v>
      </c>
      <c r="F39" s="19" t="str">
        <f>OfficeForms.Table[[#This Row],[สาขาที่เข้ารับบริการ]]</f>
        <v>สาขาหลังสวน</v>
      </c>
      <c r="G39" s="18">
        <f>OfficeForms.Table[[#This Row],[วันที่เกิดเหตุ]]</f>
        <v>45877</v>
      </c>
      <c r="H39" s="19" t="str">
        <f>OfficeForms.Table[[#This Row],[ชื่อสัตว์เลี้ยง หรือ HN สัตว์เลี้ยง]]</f>
        <v>Jordy1790</v>
      </c>
      <c r="I39" s="19" t="str">
        <f>OfficeForms.Table[[#This Row],[ชื่อผู้ร้องเรียน]]</f>
        <v>Alina</v>
      </c>
      <c r="J39" s="19" t="str">
        <f>OfficeForms.Table[[#This Row],[เบอร์โทรศัพท์ผู้ร้องเรียน]]</f>
        <v>0894424694</v>
      </c>
      <c r="K39" s="19" t="str">
        <f>OfficeForms.Table[[#This Row],[หน่วยงานที่ถูกร้องเรียน]]</f>
        <v>VET</v>
      </c>
      <c r="L39" s="19" t="s">
        <v>587</v>
      </c>
      <c r="M39" s="19" t="str">
        <f>OfficeForms.Table[[#This Row],[รายละเอียดข้อร้องเรียน]]</f>
        <v>คุณหมอทำหัตถการเจาะกระเพาะปัสสาวะโดยไม่ได้รับความยินยอมจากเจ้าของ</v>
      </c>
      <c r="N39" s="19" t="str">
        <f>OfficeForms.Table[[#This Row],[การแก้ไขเบื้องต้น (ถ้ามี)]]</f>
        <v>แจ้งหัวหน้าหมอดำเนินการตักเตือน ผจก โทรติดต่อ ลค เพิ่อทำการขอโทษ และชดเชย ลค ด้วยการให้ตรวจปัสสาวะไม่ที คชจ ให้หมอ จข เคสโทรคุยและรับทราบccลค</v>
      </c>
      <c r="O39" s="19" t="str">
        <f>OfficeForms.Table[[#This Row],[รหัสพนักงานผู้รายงาน (เพื่อสอบถามข้อมูลเพิ่มเติม)]]</f>
        <v>0226</v>
      </c>
      <c r="P39" s="19" t="str">
        <f>OfficeForms.Table[[#This Row],[ชื่อพนักงานที่อยู่ในเหตุการณ์]]</f>
        <v>ตะวัน ไผ่ตะการ</v>
      </c>
      <c r="Q39" s="19" t="str">
        <f>OfficeForms.Table[[#This Row],[ต้องคืนเงิน/ Credit note ลูกค้าหรือไม่]]</f>
        <v>ไม่ต้อง</v>
      </c>
      <c r="R39" s="19">
        <f>OfficeForms.Table[[#This Row],[Invoice'#/ Prepayment'#]]</f>
        <v>0</v>
      </c>
      <c r="S39" s="19">
        <f>OfficeForms.Table[[#This Row],[วันที่รับเงิน]]</f>
        <v>0</v>
      </c>
      <c r="T39" s="19">
        <f>OfficeForms.Table[[#This Row],[ชำระโดย]]</f>
        <v>0</v>
      </c>
      <c r="U39" s="19">
        <f>OfficeForms.Table[[#This Row],[ต้อง Adjust หรือ คืนเงินลูกค้าทางช่องทางใด]]</f>
        <v>0</v>
      </c>
      <c r="V39" s="19">
        <f>OfficeForms.Table[[#This Row],[ชื่อรายการที่ต้องคืน และมูลค่า (รวม VAT)]]</f>
        <v>0</v>
      </c>
      <c r="W39" s="19" t="s">
        <v>587</v>
      </c>
      <c r="X39" s="19" t="s">
        <v>1135</v>
      </c>
      <c r="Y39" s="26">
        <v>45879</v>
      </c>
    </row>
    <row r="40" spans="1:25" ht="28.5" hidden="1" customHeight="1">
      <c r="A40" s="19">
        <f>OfficeForms.Table[[#This Row],[Id]]</f>
        <v>41</v>
      </c>
      <c r="B40" s="18">
        <f>OfficeForms.Table[[#This Row],[Start time]]</f>
        <v>45880.443402777797</v>
      </c>
      <c r="C40" s="18">
        <f>OfficeForms.Table[[#This Row],[Completion time]]</f>
        <v>45880.445567129602</v>
      </c>
      <c r="D40" s="19" t="str">
        <f>OfficeForms.Table[[#This Row],[Email]]</f>
        <v>anonymous</v>
      </c>
      <c r="E40" s="19">
        <f>OfficeForms.Table[[#This Row],[Name]]</f>
        <v>0</v>
      </c>
      <c r="F40" s="19" t="str">
        <f>OfficeForms.Table[[#This Row],[สาขาที่เข้ารับบริการ]]</f>
        <v>สาขาหลังสวน</v>
      </c>
      <c r="G40" s="18">
        <f>OfficeForms.Table[[#This Row],[วันที่เกิดเหตุ]]</f>
        <v>45872</v>
      </c>
      <c r="H40" s="19" t="str">
        <f>OfficeForms.Table[[#This Row],[ชื่อสัตว์เลี้ยง หรือ HN สัตว์เลี้ยง]]</f>
        <v>Buzz5987</v>
      </c>
      <c r="I40" s="19" t="str">
        <f>OfficeForms.Table[[#This Row],[ชื่อผู้ร้องเรียน]]</f>
        <v>พรภวิษย์</v>
      </c>
      <c r="J40" s="19" t="str">
        <f>OfficeForms.Table[[#This Row],[เบอร์โทรศัพท์ผู้ร้องเรียน]]</f>
        <v>0944142656</v>
      </c>
      <c r="K40" s="19" t="str">
        <f>OfficeForms.Table[[#This Row],[หน่วยงานที่ถูกร้องเรียน]]</f>
        <v>GROOMING</v>
      </c>
      <c r="L40" s="19" t="s">
        <v>1126</v>
      </c>
      <c r="M40" s="19" t="str">
        <f>OfficeForms.Table[[#This Row],[รายละเอียดข้อร้องเรียน]]</f>
        <v>ช่างไถสั้นไม่ตรงตามที่ จข แจ้ง จข ต้องการแค่สั้นลง งานที่ออกมาไม่เรียยร้อย ลักษณะเป็นขั้นๆไม่เรียบเนียน</v>
      </c>
      <c r="N40" s="19" t="str">
        <f>OfficeForms.Table[[#This Row],[การแก้ไขเบื้องต้น (ถ้ามี)]]</f>
        <v>ผจก รับccให้ ลค นำมาแก้ไขที่สาขาทองหล่อและบริการpet taxiไม่มีค่าใช้จ่าย</v>
      </c>
      <c r="O40" s="19" t="str">
        <f>OfficeForms.Table[[#This Row],[รหัสพนักงานผู้รายงาน (เพื่อสอบถามข้อมูลเพิ่มเติม)]]</f>
        <v>0226</v>
      </c>
      <c r="P40" s="19" t="str">
        <f>OfficeForms.Table[[#This Row],[ชื่อพนักงานที่อยู่ในเหตุการณ์]]</f>
        <v>ปภิชยา</v>
      </c>
      <c r="Q40" s="19" t="str">
        <f>OfficeForms.Table[[#This Row],[ต้องคืนเงิน/ Credit note ลูกค้าหรือไม่]]</f>
        <v>ไม่ต้อง</v>
      </c>
      <c r="R40" s="19">
        <f>OfficeForms.Table[[#This Row],[Invoice'#/ Prepayment'#]]</f>
        <v>0</v>
      </c>
      <c r="S40" s="19">
        <f>OfficeForms.Table[[#This Row],[วันที่รับเงิน]]</f>
        <v>0</v>
      </c>
      <c r="T40" s="19">
        <f>OfficeForms.Table[[#This Row],[ชำระโดย]]</f>
        <v>0</v>
      </c>
      <c r="U40" s="19">
        <f>OfficeForms.Table[[#This Row],[ต้อง Adjust หรือ คืนเงินลูกค้าทางช่องทางใด]]</f>
        <v>0</v>
      </c>
      <c r="V40" s="19">
        <f>OfficeForms.Table[[#This Row],[ชื่อรายการที่ต้องคืน และมูลค่า (รวม VAT)]]</f>
        <v>0</v>
      </c>
      <c r="W40" s="19" t="s">
        <v>1126</v>
      </c>
      <c r="Y40" s="19"/>
    </row>
    <row r="41" spans="1:25" ht="28.5" hidden="1" customHeight="1">
      <c r="A41" s="19">
        <f>OfficeForms.Table[[#This Row],[Id]]</f>
        <v>42</v>
      </c>
      <c r="B41" s="18">
        <f>OfficeForms.Table[[#This Row],[Start time]]</f>
        <v>45883.5782175926</v>
      </c>
      <c r="C41" s="18">
        <f>OfficeForms.Table[[#This Row],[Completion time]]</f>
        <v>45883.580567129597</v>
      </c>
      <c r="D41" s="19" t="str">
        <f>OfficeForms.Table[[#This Row],[Email]]</f>
        <v>anonymous</v>
      </c>
      <c r="E41" s="19">
        <f>OfficeForms.Table[[#This Row],[Name]]</f>
        <v>0</v>
      </c>
      <c r="F41" s="19" t="str">
        <f>OfficeForms.Table[[#This Row],[สาขาที่เข้ารับบริการ]]</f>
        <v>สาขาทองหล่อ</v>
      </c>
      <c r="G41" s="18">
        <f>OfficeForms.Table[[#This Row],[วันที่เกิดเหตุ]]</f>
        <v>45882</v>
      </c>
      <c r="H41" s="19" t="str">
        <f>OfficeForms.Table[[#This Row],[ชื่อสัตว์เลี้ยง หรือ HN สัตว์เลี้ยง]]</f>
        <v>Gobong 5760</v>
      </c>
      <c r="I41" s="19" t="str">
        <f>OfficeForms.Table[[#This Row],[ชื่อผู้ร้องเรียน]]</f>
        <v>รินทร์ลิตา ฉัตรเมธีเกียรติ์</v>
      </c>
      <c r="J41" s="19" t="str">
        <f>OfficeForms.Table[[#This Row],[เบอร์โทรศัพท์ผู้ร้องเรียน]]</f>
        <v>0800818899</v>
      </c>
      <c r="K41" s="19" t="str">
        <f>OfficeForms.Table[[#This Row],[หน่วยงานที่ถูกร้องเรียน]]</f>
        <v>PHARMACY</v>
      </c>
      <c r="M41" s="19" t="str">
        <f>OfficeForms.Table[[#This Row],[รายละเอียดข้อร้องเรียน]]</f>
        <v>ลูกค้าขอคืนสินค้า</v>
      </c>
      <c r="N41" s="19">
        <f>OfficeForms.Table[[#This Row],[การแก้ไขเบื้องต้น (ถ้ามี)]]</f>
        <v>0</v>
      </c>
      <c r="O41" s="19" t="str">
        <f>OfficeForms.Table[[#This Row],[รหัสพนักงานผู้รายงาน (เพื่อสอบถามข้อมูลเพิ่มเติม)]]</f>
        <v>0211</v>
      </c>
      <c r="P41" s="19" t="str">
        <f>OfficeForms.Table[[#This Row],[ชื่อพนักงานที่อยู่ในเหตุการณ์]]</f>
        <v>ปิ่น</v>
      </c>
      <c r="Q41" s="19" t="str">
        <f>OfficeForms.Table[[#This Row],[ต้องคืนเงิน/ Credit note ลูกค้าหรือไม่]]</f>
        <v>ต้อง</v>
      </c>
      <c r="R41" s="19" t="str">
        <f>OfficeForms.Table[[#This Row],[Invoice'#/ Prepayment'#]]</f>
        <v>21250015645</v>
      </c>
      <c r="S41" s="19">
        <f>OfficeForms.Table[[#This Row],[วันที่รับเงิน]]</f>
        <v>45882</v>
      </c>
      <c r="T41" s="19" t="str">
        <f>OfficeForms.Table[[#This Row],[ชำระโดย]]</f>
        <v>QR code</v>
      </c>
      <c r="U41" s="19" t="str">
        <f>OfficeForms.Table[[#This Row],[ต้อง Adjust หรือ คืนเงินลูกค้าทางช่องทางใด]]</f>
        <v>คืนเงินลูกค้า (เข้า Prepayment)</v>
      </c>
      <c r="V41" s="19" t="str">
        <f>OfficeForms.Table[[#This Row],[ชื่อรายการที่ต้องคืน และมูลค่า (รวม VAT)]]</f>
        <v>Purrpet-Blue Collar (M) Ver.2</v>
      </c>
      <c r="Y41" s="19"/>
    </row>
    <row r="42" spans="1:25" ht="28.5" hidden="1" customHeight="1">
      <c r="A42" s="19">
        <f>OfficeForms.Table[[#This Row],[Id]]</f>
        <v>43</v>
      </c>
      <c r="B42" s="18">
        <f>OfficeForms.Table[[#This Row],[Start time]]</f>
        <v>45884.417916666702</v>
      </c>
      <c r="C42" s="18">
        <f>OfficeForms.Table[[#This Row],[Completion time]]</f>
        <v>45884.420115740701</v>
      </c>
      <c r="D42" s="19" t="str">
        <f>OfficeForms.Table[[#This Row],[Email]]</f>
        <v>anonymous</v>
      </c>
      <c r="E42" s="19">
        <f>OfficeForms.Table[[#This Row],[Name]]</f>
        <v>0</v>
      </c>
      <c r="F42" s="19" t="str">
        <f>OfficeForms.Table[[#This Row],[สาขาที่เข้ารับบริการ]]</f>
        <v>สาขาหลังสวน</v>
      </c>
      <c r="G42" s="18">
        <f>OfficeForms.Table[[#This Row],[วันที่เกิดเหตุ]]</f>
        <v>45883</v>
      </c>
      <c r="H42" s="19" t="str">
        <f>OfficeForms.Table[[#This Row],[ชื่อสัตว์เลี้ยง หรือ HN สัตว์เลี้ยง]]</f>
        <v>1471 พีโอนี่</v>
      </c>
      <c r="I42" s="19" t="str">
        <f>OfficeForms.Table[[#This Row],[ชื่อผู้ร้องเรียน]]</f>
        <v>พี่ลั่นทม (พี่เลี้ยงของน้อง)</v>
      </c>
      <c r="J42" s="19" t="str">
        <f>OfficeForms.Table[[#This Row],[เบอร์โทรศัพท์ผู้ร้องเรียน]]</f>
        <v>0811325642</v>
      </c>
      <c r="K42" s="19" t="str">
        <f>OfficeForms.Table[[#This Row],[หน่วยงานที่ถูกร้องเรียน]]</f>
        <v>NURSE OPD</v>
      </c>
      <c r="M42" s="19" t="str">
        <f>OfficeForms.Table[[#This Row],[รายละเอียดข้อร้องเรียน]]</f>
        <v>ไม่ได้แจ้งเรื่องให้เอาที่พันห้ามเลือดออก ทำให้ขันโดนที่พันห้ามเลือดรัดจนถึงเช้าของวันที่ 15/8</v>
      </c>
      <c r="N42" s="19">
        <f>OfficeForms.Table[[#This Row],[การแก้ไขเบื้องต้น (ถ้ามี)]]</f>
        <v>0</v>
      </c>
      <c r="O42" s="19" t="str">
        <f>OfficeForms.Table[[#This Row],[รหัสพนักงานผู้รายงาน (เพื่อสอบถามข้อมูลเพิ่มเติม)]]</f>
        <v>1026</v>
      </c>
      <c r="P42" s="19" t="str">
        <f>OfficeForms.Table[[#This Row],[ชื่อพนักงานที่อยู่ในเหตุการณ์]]</f>
        <v>หมอ CS</v>
      </c>
      <c r="Q42" s="19" t="str">
        <f>OfficeForms.Table[[#This Row],[ต้องคืนเงิน/ Credit note ลูกค้าหรือไม่]]</f>
        <v>ไม่ต้อง</v>
      </c>
      <c r="R42" s="19">
        <f>OfficeForms.Table[[#This Row],[Invoice'#/ Prepayment'#]]</f>
        <v>0</v>
      </c>
      <c r="S42" s="19">
        <f>OfficeForms.Table[[#This Row],[วันที่รับเงิน]]</f>
        <v>0</v>
      </c>
      <c r="T42" s="19">
        <f>OfficeForms.Table[[#This Row],[ชำระโดย]]</f>
        <v>0</v>
      </c>
      <c r="U42" s="19">
        <f>OfficeForms.Table[[#This Row],[ต้อง Adjust หรือ คืนเงินลูกค้าทางช่องทางใด]]</f>
        <v>0</v>
      </c>
      <c r="V42" s="19">
        <f>OfficeForms.Table[[#This Row],[ชื่อรายการที่ต้องคืน และมูลค่า (รวม VAT)]]</f>
        <v>0</v>
      </c>
      <c r="X42" s="19" t="s">
        <v>1131</v>
      </c>
      <c r="Y42" s="26">
        <v>45882</v>
      </c>
    </row>
    <row r="43" spans="1:25" ht="28.5" hidden="1" customHeight="1">
      <c r="A43" s="19">
        <f>OfficeForms.Table[[#This Row],[Id]]</f>
        <v>44</v>
      </c>
      <c r="B43" s="18">
        <f>OfficeForms.Table[[#This Row],[Start time]]</f>
        <v>45884.420277777797</v>
      </c>
      <c r="C43" s="18">
        <f>OfficeForms.Table[[#This Row],[Completion time]]</f>
        <v>45884.4227777778</v>
      </c>
      <c r="D43" s="19" t="str">
        <f>OfficeForms.Table[[#This Row],[Email]]</f>
        <v>anonymous</v>
      </c>
      <c r="E43" s="19">
        <f>OfficeForms.Table[[#This Row],[Name]]</f>
        <v>0</v>
      </c>
      <c r="F43" s="19" t="str">
        <f>OfficeForms.Table[[#This Row],[สาขาที่เข้ารับบริการ]]</f>
        <v>สาขาทองหล่อ</v>
      </c>
      <c r="G43" s="18">
        <f>OfficeForms.Table[[#This Row],[วันที่เกิดเหตุ]]</f>
        <v>45878</v>
      </c>
      <c r="H43" s="19" t="str">
        <f>OfficeForms.Table[[#This Row],[ชื่อสัตว์เลี้ยง หรือ HN สัตว์เลี้ยง]]</f>
        <v>11259 วุ้นเส้น</v>
      </c>
      <c r="I43" s="19" t="str">
        <f>OfficeForms.Table[[#This Row],[ชื่อผู้ร้องเรียน]]</f>
        <v>รัชนี (คุณเจ้าของ)</v>
      </c>
      <c r="J43" s="19" t="str">
        <f>OfficeForms.Table[[#This Row],[เบอร์โทรศัพท์ผู้ร้องเรียน]]</f>
        <v>081 296 1789</v>
      </c>
      <c r="K43" s="19" t="str">
        <f>OfficeForms.Table[[#This Row],[หน่วยงานที่ถูกร้องเรียน]]</f>
        <v>FRONT</v>
      </c>
      <c r="L43" s="19" t="s">
        <v>1126</v>
      </c>
      <c r="M43" s="19" t="str">
        <f>OfficeForms.Table[[#This Row],[รายละเอียดข้อร้องเรียน]]</f>
        <v>ไม่แจ้งหมอว่าลูกค้ามาถึงแล้ว ทำให้รอตรวจนานประมาณ 1 ชั่วโมง ทั้งที่มาถึงก่อนเวลานัด</v>
      </c>
      <c r="N43" s="19">
        <f>OfficeForms.Table[[#This Row],[การแก้ไขเบื้องต้น (ถ้ามี)]]</f>
        <v>0</v>
      </c>
      <c r="O43" s="19" t="str">
        <f>OfficeForms.Table[[#This Row],[รหัสพนักงานผู้รายงาน (เพื่อสอบถามข้อมูลเพิ่มเติม)]]</f>
        <v>1026</v>
      </c>
      <c r="P43" s="19" t="str">
        <f>OfficeForms.Table[[#This Row],[ชื่อพนักงานที่อยู่ในเหตุการณ์]]</f>
        <v>หมอ ARM</v>
      </c>
      <c r="Q43" s="19" t="str">
        <f>OfficeForms.Table[[#This Row],[ต้องคืนเงิน/ Credit note ลูกค้าหรือไม่]]</f>
        <v>ไม่ต้อง</v>
      </c>
      <c r="R43" s="19">
        <f>OfficeForms.Table[[#This Row],[Invoice'#/ Prepayment'#]]</f>
        <v>0</v>
      </c>
      <c r="S43" s="19">
        <f>OfficeForms.Table[[#This Row],[วันที่รับเงิน]]</f>
        <v>0</v>
      </c>
      <c r="T43" s="19">
        <f>OfficeForms.Table[[#This Row],[ชำระโดย]]</f>
        <v>0</v>
      </c>
      <c r="U43" s="19">
        <f>OfficeForms.Table[[#This Row],[ต้อง Adjust หรือ คืนเงินลูกค้าทางช่องทางใด]]</f>
        <v>0</v>
      </c>
      <c r="V43" s="19">
        <f>OfficeForms.Table[[#This Row],[ชื่อรายการที่ต้องคืน และมูลค่า (รวม VAT)]]</f>
        <v>0</v>
      </c>
      <c r="W43" s="19" t="s">
        <v>1126</v>
      </c>
      <c r="Y43" s="19"/>
    </row>
    <row r="44" spans="1:25" ht="58.5" hidden="1" customHeight="1">
      <c r="A44" s="19">
        <f>OfficeForms.Table[[#This Row],[Id]]</f>
        <v>45</v>
      </c>
      <c r="B44" s="18">
        <f>OfficeForms.Table[[#This Row],[Start time]]</f>
        <v>45884.422800925902</v>
      </c>
      <c r="C44" s="18">
        <f>OfficeForms.Table[[#This Row],[Completion time]]</f>
        <v>45884.423912036997</v>
      </c>
      <c r="D44" s="19" t="str">
        <f>OfficeForms.Table[[#This Row],[Email]]</f>
        <v>anonymous</v>
      </c>
      <c r="E44" s="19">
        <f>OfficeForms.Table[[#This Row],[Name]]</f>
        <v>0</v>
      </c>
      <c r="F44" s="19" t="str">
        <f>OfficeForms.Table[[#This Row],[สาขาที่เข้ารับบริการ]]</f>
        <v>สาขาทองหล่อ</v>
      </c>
      <c r="G44" s="18">
        <f>OfficeForms.Table[[#This Row],[วันที่เกิดเหตุ]]</f>
        <v>45877</v>
      </c>
      <c r="H44" s="19" t="str">
        <f>OfficeForms.Table[[#This Row],[ชื่อสัตว์เลี้ยง หรือ HN สัตว์เลี้ยง]]</f>
        <v>9798 Rocco</v>
      </c>
      <c r="I44" s="19" t="str">
        <f>OfficeForms.Table[[#This Row],[ชื่อผู้ร้องเรียน]]</f>
        <v>กชมน (เจ้าของ)</v>
      </c>
      <c r="J44" s="19" t="str">
        <f>OfficeForms.Table[[#This Row],[เบอร์โทรศัพท์ผู้ร้องเรียน]]</f>
        <v>064 695 4777</v>
      </c>
      <c r="K44" s="19" t="str">
        <f>OfficeForms.Table[[#This Row],[หน่วยงานที่ถูกร้องเรียน]]</f>
        <v>FRONT</v>
      </c>
      <c r="L44" s="19" t="s">
        <v>603</v>
      </c>
      <c r="M44" s="19" t="str">
        <f>OfficeForms.Table[[#This Row],[รายละเอียดข้อร้องเรียน]]</f>
        <v>โทรศัพท์ไม่สามารถติดต่อได้</v>
      </c>
      <c r="N44" s="19">
        <f>OfficeForms.Table[[#This Row],[การแก้ไขเบื้องต้น (ถ้ามี)]]</f>
        <v>0</v>
      </c>
      <c r="O44" s="19" t="str">
        <f>OfficeForms.Table[[#This Row],[รหัสพนักงานผู้รายงาน (เพื่อสอบถามข้อมูลเพิ่มเติม)]]</f>
        <v>1026</v>
      </c>
      <c r="P44" s="19" t="str">
        <f>OfficeForms.Table[[#This Row],[ชื่อพนักงานที่อยู่ในเหตุการณ์]]</f>
        <v>หมอ ARM</v>
      </c>
      <c r="Q44" s="19" t="str">
        <f>OfficeForms.Table[[#This Row],[ต้องคืนเงิน/ Credit note ลูกค้าหรือไม่]]</f>
        <v>ไม่ต้อง</v>
      </c>
      <c r="R44" s="19">
        <f>OfficeForms.Table[[#This Row],[Invoice'#/ Prepayment'#]]</f>
        <v>0</v>
      </c>
      <c r="S44" s="19">
        <f>OfficeForms.Table[[#This Row],[วันที่รับเงิน]]</f>
        <v>0</v>
      </c>
      <c r="T44" s="19">
        <f>OfficeForms.Table[[#This Row],[ชำระโดย]]</f>
        <v>0</v>
      </c>
      <c r="U44" s="19">
        <f>OfficeForms.Table[[#This Row],[ต้อง Adjust หรือ คืนเงินลูกค้าทางช่องทางใด]]</f>
        <v>0</v>
      </c>
      <c r="V44" s="19">
        <f>OfficeForms.Table[[#This Row],[ชื่อรายการที่ต้องคืน และมูลค่า (รวม VAT)]]</f>
        <v>0</v>
      </c>
      <c r="W44" s="19" t="s">
        <v>603</v>
      </c>
      <c r="X44" s="19" t="s">
        <v>1131</v>
      </c>
      <c r="Y44" s="26">
        <v>45878</v>
      </c>
    </row>
    <row r="45" spans="1:25" ht="28.5" hidden="1" customHeight="1">
      <c r="A45" s="19">
        <f>OfficeForms.Table[[#This Row],[Id]]</f>
        <v>46</v>
      </c>
      <c r="B45" s="18">
        <f>OfficeForms.Table[[#This Row],[Start time]]</f>
        <v>45884.565925925897</v>
      </c>
      <c r="C45" s="18">
        <f>OfficeForms.Table[[#This Row],[Completion time]]</f>
        <v>45884.567893518499</v>
      </c>
      <c r="D45" s="19" t="str">
        <f>OfficeForms.Table[[#This Row],[Email]]</f>
        <v>anonymous</v>
      </c>
      <c r="E45" s="19">
        <f>OfficeForms.Table[[#This Row],[Name]]</f>
        <v>0</v>
      </c>
      <c r="F45" s="19" t="str">
        <f>OfficeForms.Table[[#This Row],[สาขาที่เข้ารับบริการ]]</f>
        <v>สาขาทองหล่อ</v>
      </c>
      <c r="G45" s="18">
        <f>OfficeForms.Table[[#This Row],[วันที่เกิดเหตุ]]</f>
        <v>45877</v>
      </c>
      <c r="H45" s="19" t="str">
        <f>OfficeForms.Table[[#This Row],[ชื่อสัตว์เลี้ยง หรือ HN สัตว์เลี้ยง]]</f>
        <v>Ellie (14324)</v>
      </c>
      <c r="I45" s="19" t="str">
        <f>OfficeForms.Table[[#This Row],[ชื่อผู้ร้องเรียน]]</f>
        <v>Sonny Alden  (10216)</v>
      </c>
      <c r="J45" s="19" t="str">
        <f>OfficeForms.Table[[#This Row],[เบอร์โทรศัพท์ผู้ร้องเรียน]]</f>
        <v>091 697 6661</v>
      </c>
      <c r="K45" s="19" t="str">
        <f>OfficeForms.Table[[#This Row],[หน่วยงานที่ถูกร้องเรียน]]</f>
        <v>VET</v>
      </c>
      <c r="L45" s="19" t="s">
        <v>576</v>
      </c>
      <c r="M45" s="19" t="str">
        <f>OfficeForms.Table[[#This Row],[รายละเอียดข้อร้องเรียน]]</f>
        <v>หมอเกรียงไกรคีย์ค่า 	IV SET Protector / Dexamethasone 0.5 mg TABLET  เข้าไปในบิล แต่ไม่ได้มีการใช้ แต่ Finalize บิลแล้ว และมีการเก็บเงินลูกค้าไปแล้ว</v>
      </c>
      <c r="N45" s="19" t="str">
        <f>OfficeForms.Table[[#This Row],[การแก้ไขเบื้องต้น (ถ้ามี)]]</f>
        <v>-</v>
      </c>
      <c r="O45" s="19" t="str">
        <f>OfficeForms.Table[[#This Row],[รหัสพนักงานผู้รายงาน (เพื่อสอบถามข้อมูลเพิ่มเติม)]]</f>
        <v>แพรวา Front</v>
      </c>
      <c r="P45" s="19" t="str">
        <f>OfficeForms.Table[[#This Row],[ชื่อพนักงานที่อยู่ในเหตุการณ์]]</f>
        <v>แพรวา Front</v>
      </c>
      <c r="Q45" s="19" t="str">
        <f>OfficeForms.Table[[#This Row],[ต้องคืนเงิน/ Credit note ลูกค้าหรือไม่]]</f>
        <v>ต้อง</v>
      </c>
      <c r="R45" s="19" t="str">
        <f>OfficeForms.Table[[#This Row],[Invoice'#/ Prepayment'#]]</f>
        <v>21250015129</v>
      </c>
      <c r="S45" s="19">
        <f>OfficeForms.Table[[#This Row],[วันที่รับเงิน]]</f>
        <v>45877</v>
      </c>
      <c r="T45" s="19" t="str">
        <f>OfficeForms.Table[[#This Row],[ชำระโดย]]</f>
        <v>QR code</v>
      </c>
      <c r="U45" s="19" t="str">
        <f>OfficeForms.Table[[#This Row],[ต้อง Adjust หรือ คืนเงินลูกค้าทางช่องทางใด]]</f>
        <v>คืนเงินลูกค้า (เข้า Prepayment)</v>
      </c>
      <c r="V45" s="19" t="str">
        <f>OfficeForms.Table[[#This Row],[ชื่อรายการที่ต้องคืน และมูลค่า (รวม VAT)]]</f>
        <v>IV SET Protector / Dexamethasone 0.5 mg TABLET   15 บาท</v>
      </c>
      <c r="W45" s="19" t="s">
        <v>576</v>
      </c>
      <c r="Y45" s="19"/>
    </row>
    <row r="46" spans="1:25" ht="64.5" hidden="1" customHeight="1">
      <c r="A46" s="19">
        <f>OfficeForms.Table[[#This Row],[Id]]</f>
        <v>47</v>
      </c>
      <c r="B46" s="18">
        <f>OfficeForms.Table[[#This Row],[Start time]]</f>
        <v>45887.685185185197</v>
      </c>
      <c r="C46" s="18">
        <f>OfficeForms.Table[[#This Row],[Completion time]]</f>
        <v>45887.689467592601</v>
      </c>
      <c r="D46" s="19" t="str">
        <f>OfficeForms.Table[[#This Row],[Email]]</f>
        <v>anonymous</v>
      </c>
      <c r="E46" s="19">
        <f>OfficeForms.Table[[#This Row],[Name]]</f>
        <v>0</v>
      </c>
      <c r="F46" s="19" t="str">
        <f>OfficeForms.Table[[#This Row],[สาขาที่เข้ารับบริการ]]</f>
        <v>สาขาเชียงใหม่</v>
      </c>
      <c r="G46" s="18">
        <f>OfficeForms.Table[[#This Row],[วันที่เกิดเหตุ]]</f>
        <v>45885</v>
      </c>
      <c r="H46" s="19" t="str">
        <f>OfficeForms.Table[[#This Row],[ชื่อสัตว์เลี้ยง หรือ HN สัตว์เลี้ยง]]</f>
        <v>ข้าวนึ่ง 7156</v>
      </c>
      <c r="I46" s="19" t="str">
        <f>OfficeForms.Table[[#This Row],[ชื่อผู้ร้องเรียน]]</f>
        <v xml:space="preserve"> ศาสน์ตริน แซ่จิว  (5136)</v>
      </c>
      <c r="J46" s="19" t="str">
        <f>OfficeForms.Table[[#This Row],[เบอร์โทรศัพท์ผู้ร้องเรียน]]</f>
        <v>+66 83 525 3265</v>
      </c>
      <c r="K46" s="19" t="str">
        <f>OfficeForms.Table[[#This Row],[หน่วยงานที่ถูกร้องเรียน]]</f>
        <v>GROOMING</v>
      </c>
      <c r="L46" s="19" t="s">
        <v>1129</v>
      </c>
      <c r="M46" s="19" t="str">
        <f>OfficeForms.Table[[#This Row],[รายละเอียดข้อร้องเรียน]]</f>
        <v>เป่าขนไม่ดี มีขนเหลือเต็มตัว เก็บรายละเอียดตัดขนไม่ละเอียด ทำไม่เหมือนมาตรฐานเดิม</v>
      </c>
      <c r="N46" s="19" t="str">
        <f>OfficeForms.Table[[#This Row],[การแก้ไขเบื้องต้น (ถ้ามี)]]</f>
        <v>ผู้จัดการโทรคุยเรียบร้อย ให้เจ้าของพากลับมาอาบน้ำและตัดขนแก้ทรงใหม่โดยไม่เสียค่าใช้จ่าย เจ้าของโอเคพอใจ แค่อยาก feedback และอยากรู้ว่าเปลี่ยนช่างหรือไม่ เพราะทุกครั้งที่มาใช้บริการทำได้ดีมาก</v>
      </c>
      <c r="O46" s="19" t="str">
        <f>OfficeForms.Table[[#This Row],[รหัสพนักงานผู้รายงาน (เพื่อสอบถามข้อมูลเพิ่มเติม)]]</f>
        <v>1021</v>
      </c>
      <c r="P46" s="19" t="str">
        <f>OfficeForms.Table[[#This Row],[ชื่อพนักงานที่อยู่ในเหตุการณ์]]</f>
        <v>ลูกเกด</v>
      </c>
      <c r="Q46" s="19" t="str">
        <f>OfficeForms.Table[[#This Row],[ต้องคืนเงิน/ Credit note ลูกค้าหรือไม่]]</f>
        <v>ไม่ต้อง</v>
      </c>
      <c r="R46" s="19">
        <f>OfficeForms.Table[[#This Row],[Invoice'#/ Prepayment'#]]</f>
        <v>0</v>
      </c>
      <c r="S46" s="19">
        <f>OfficeForms.Table[[#This Row],[วันที่รับเงิน]]</f>
        <v>0</v>
      </c>
      <c r="T46" s="19">
        <f>OfficeForms.Table[[#This Row],[ชำระโดย]]</f>
        <v>0</v>
      </c>
      <c r="U46" s="19">
        <f>OfficeForms.Table[[#This Row],[ต้อง Adjust หรือ คืนเงินลูกค้าทางช่องทางใด]]</f>
        <v>0</v>
      </c>
      <c r="V46" s="19">
        <f>OfficeForms.Table[[#This Row],[ชื่อรายการที่ต้องคืน และมูลค่า (รวม VAT)]]</f>
        <v>0</v>
      </c>
      <c r="W46" s="19" t="s">
        <v>1129</v>
      </c>
      <c r="X46" s="19" t="s">
        <v>1131</v>
      </c>
      <c r="Y46" s="26">
        <v>45877</v>
      </c>
    </row>
    <row r="47" spans="1:25" ht="28.5" hidden="1" customHeight="1">
      <c r="A47" s="19">
        <f>OfficeForms.Table[[#This Row],[Id]]</f>
        <v>48</v>
      </c>
      <c r="B47" s="18">
        <f>OfficeForms.Table[[#This Row],[Start time]]</f>
        <v>45888.720520833303</v>
      </c>
      <c r="C47" s="18">
        <f>OfficeForms.Table[[#This Row],[Completion time]]</f>
        <v>45888.721863425897</v>
      </c>
      <c r="D47" s="19" t="str">
        <f>OfficeForms.Table[[#This Row],[Email]]</f>
        <v>anonymous</v>
      </c>
      <c r="E47" s="19">
        <f>OfficeForms.Table[[#This Row],[Name]]</f>
        <v>0</v>
      </c>
      <c r="F47" s="19" t="str">
        <f>OfficeForms.Table[[#This Row],[สาขาที่เข้ารับบริการ]]</f>
        <v>สาขาเชียงใหม่</v>
      </c>
      <c r="G47" s="18">
        <f>OfficeForms.Table[[#This Row],[วันที่เกิดเหตุ]]</f>
        <v>45880</v>
      </c>
      <c r="H47" s="19" t="str">
        <f>OfficeForms.Table[[#This Row],[ชื่อสัตว์เลี้ยง หรือ HN สัตว์เลี้ยง]]</f>
        <v>วัวนม</v>
      </c>
      <c r="I47" s="19" t="str">
        <f>OfficeForms.Table[[#This Row],[ชื่อผู้ร้องเรียน]]</f>
        <v>ลูกเกด</v>
      </c>
      <c r="J47" s="19" t="str">
        <f>OfficeForms.Table[[#This Row],[เบอร์โทรศัพท์ผู้ร้องเรียน]]</f>
        <v>0979206194</v>
      </c>
      <c r="K47" s="19" t="str">
        <f>OfficeForms.Table[[#This Row],[หน่วยงานที่ถูกร้องเรียน]]</f>
        <v>FRONT</v>
      </c>
      <c r="M47" s="19" t="str">
        <f>OfficeForms.Table[[#This Row],[รายละเอียดข้อร้องเรียน]]</f>
        <v>ลูกค้าชำระโดย card แต่ลงระบบ Provet ชำระด้วย QR code</v>
      </c>
      <c r="N47" s="19" t="str">
        <f>OfficeForms.Table[[#This Row],[การแก้ไขเบื้องต้น (ถ้ามี)]]</f>
        <v>เขียน Memo แก้ไขบิลใบเสร็จให้ทางบัญชี</v>
      </c>
      <c r="O47" s="19" t="str">
        <f>OfficeForms.Table[[#This Row],[รหัสพนักงานผู้รายงาน (เพื่อสอบถามข้อมูลเพิ่มเติม)]]</f>
        <v>0074</v>
      </c>
      <c r="P47" s="19" t="str">
        <f>OfficeForms.Table[[#This Row],[ชื่อพนักงานที่อยู่ในเหตุการณ์]]</f>
        <v>-</v>
      </c>
      <c r="Q47" s="19" t="str">
        <f>OfficeForms.Table[[#This Row],[ต้องคืนเงิน/ Credit note ลูกค้าหรือไม่]]</f>
        <v>ไม่ต้อง</v>
      </c>
      <c r="R47" s="19">
        <f>OfficeForms.Table[[#This Row],[Invoice'#/ Prepayment'#]]</f>
        <v>0</v>
      </c>
      <c r="S47" s="19">
        <f>OfficeForms.Table[[#This Row],[วันที่รับเงิน]]</f>
        <v>0</v>
      </c>
      <c r="T47" s="19">
        <f>OfficeForms.Table[[#This Row],[ชำระโดย]]</f>
        <v>0</v>
      </c>
      <c r="U47" s="19">
        <f>OfficeForms.Table[[#This Row],[ต้อง Adjust หรือ คืนเงินลูกค้าทางช่องทางใด]]</f>
        <v>0</v>
      </c>
      <c r="V47" s="19">
        <f>OfficeForms.Table[[#This Row],[ชื่อรายการที่ต้องคืน และมูลค่า (รวม VAT)]]</f>
        <v>0</v>
      </c>
      <c r="Y47" s="19"/>
    </row>
    <row r="48" spans="1:25" ht="28.5" hidden="1" customHeight="1">
      <c r="A48" s="19">
        <f>OfficeForms.Table[[#This Row],[Id]]</f>
        <v>49</v>
      </c>
      <c r="B48" s="18">
        <f>OfficeForms.Table[[#This Row],[Start time]]</f>
        <v>45889.556423611102</v>
      </c>
      <c r="C48" s="18">
        <f>OfficeForms.Table[[#This Row],[Completion time]]</f>
        <v>45889.558229166701</v>
      </c>
      <c r="D48" s="19" t="str">
        <f>OfficeForms.Table[[#This Row],[Email]]</f>
        <v>anonymous</v>
      </c>
      <c r="E48" s="19">
        <f>OfficeForms.Table[[#This Row],[Name]]</f>
        <v>0</v>
      </c>
      <c r="F48" s="19" t="str">
        <f>OfficeForms.Table[[#This Row],[สาขาที่เข้ารับบริการ]]</f>
        <v>สาขาเพชรเกษม</v>
      </c>
      <c r="G48" s="18">
        <f>OfficeForms.Table[[#This Row],[วันที่เกิดเหตุ]]</f>
        <v>45876</v>
      </c>
      <c r="H48" s="19" t="str">
        <f>OfficeForms.Table[[#This Row],[ชื่อสัตว์เลี้ยง หรือ HN สัตว์เลี้ยง]]</f>
        <v>12467</v>
      </c>
      <c r="I48" s="19" t="str">
        <f>OfficeForms.Table[[#This Row],[ชื่อผู้ร้องเรียน]]</f>
        <v>วรานนท์</v>
      </c>
      <c r="J48" s="19" t="str">
        <f>OfficeForms.Table[[#This Row],[เบอร์โทรศัพท์ผู้ร้องเรียน]]</f>
        <v>0925619940</v>
      </c>
      <c r="K48" s="19" t="str">
        <f>OfficeForms.Table[[#This Row],[หน่วยงานที่ถูกร้องเรียน]]</f>
        <v>GROOMING</v>
      </c>
      <c r="M48" s="19" t="str">
        <f>OfficeForms.Table[[#This Row],[รายละเอียดข้อร้องเรียน]]</f>
        <v>กรูมมิ่งอาบน้ำเร็วและไม่สะอาดทำให้หูสกปรกจนเกิดโรค</v>
      </c>
      <c r="N48" s="19" t="str">
        <f>OfficeForms.Table[[#This Row],[การแก้ไขเบื้องต้น (ถ้ามี)]]</f>
        <v>เช็คก่อนส่งคืนเจ้าของ หับจับเวลาการอาบน้ำ</v>
      </c>
      <c r="O48" s="19" t="str">
        <f>OfficeForms.Table[[#This Row],[รหัสพนักงานผู้รายงาน (เพื่อสอบถามข้อมูลเพิ่มเติม)]]</f>
        <v>0191</v>
      </c>
      <c r="P48" s="19" t="str">
        <f>OfficeForms.Table[[#This Row],[ชื่อพนักงานที่อยู่ในเหตุการณ์]]</f>
        <v>Chama</v>
      </c>
      <c r="Q48" s="19" t="str">
        <f>OfficeForms.Table[[#This Row],[ต้องคืนเงิน/ Credit note ลูกค้าหรือไม่]]</f>
        <v>ต้อง</v>
      </c>
      <c r="R48" s="19" t="str">
        <f>OfficeForms.Table[[#This Row],[Invoice'#/ Prepayment'#]]</f>
        <v>51250002182</v>
      </c>
      <c r="S48" s="19">
        <f>OfficeForms.Table[[#This Row],[วันที่รับเงิน]]</f>
        <v>0</v>
      </c>
      <c r="T48" s="19">
        <f>OfficeForms.Table[[#This Row],[ชำระโดย]]</f>
        <v>0</v>
      </c>
      <c r="U48" s="19" t="str">
        <f>OfficeForms.Table[[#This Row],[ต้อง Adjust หรือ คืนเงินลูกค้าทางช่องทางใด]]</f>
        <v>Credit note</v>
      </c>
      <c r="V48" s="19">
        <f>OfficeForms.Table[[#This Row],[ชื่อรายการที่ต้องคืน และมูลค่า (รวม VAT)]]</f>
        <v>0</v>
      </c>
      <c r="Y48" s="19"/>
    </row>
    <row r="49" spans="1:27" ht="28.5" hidden="1" customHeight="1">
      <c r="A49" s="19">
        <f>OfficeForms.Table[[#This Row],[Id]]</f>
        <v>50</v>
      </c>
      <c r="B49" s="18">
        <f>OfficeForms.Table[[#This Row],[Start time]]</f>
        <v>45889.558726851901</v>
      </c>
      <c r="C49" s="18">
        <f>OfficeForms.Table[[#This Row],[Completion time]]</f>
        <v>45889.560543981497</v>
      </c>
      <c r="D49" s="19" t="str">
        <f>OfficeForms.Table[[#This Row],[Email]]</f>
        <v>anonymous</v>
      </c>
      <c r="E49" s="19">
        <f>OfficeForms.Table[[#This Row],[Name]]</f>
        <v>0</v>
      </c>
      <c r="F49" s="19" t="str">
        <f>OfficeForms.Table[[#This Row],[สาขาที่เข้ารับบริการ]]</f>
        <v>สาขาหลังสวน</v>
      </c>
      <c r="G49" s="18">
        <f>OfficeForms.Table[[#This Row],[วันที่เกิดเหตุ]]</f>
        <v>45889</v>
      </c>
      <c r="H49" s="19" t="str">
        <f>OfficeForms.Table[[#This Row],[ชื่อสัตว์เลี้ยง หรือ HN สัตว์เลี้ยง]]</f>
        <v>Bambam 2383</v>
      </c>
      <c r="I49" s="19" t="str">
        <f>OfficeForms.Table[[#This Row],[ชื่อผู้ร้องเรียน]]</f>
        <v>มัทธุรา</v>
      </c>
      <c r="J49" s="19" t="str">
        <f>OfficeForms.Table[[#This Row],[เบอร์โทรศัพท์ผู้ร้องเรียน]]</f>
        <v>0859536591</v>
      </c>
      <c r="K49" s="19" t="str">
        <f>OfficeForms.Table[[#This Row],[หน่วยงานที่ถูกร้องเรียน]]</f>
        <v>VET</v>
      </c>
      <c r="M49" s="19" t="str">
        <f>OfficeForms.Table[[#This Row],[รายละเอียดข้อร้องเรียน]]</f>
        <v>สุนัขโดนกัดมาทำแผล กลับไปแล้วพบว่าหมอทำแผลไม่ครบ</v>
      </c>
      <c r="N49" s="19" t="str">
        <f>OfficeForms.Table[[#This Row],[การแก้ไขเบื้องต้น (ถ้ามี)]]</f>
        <v>ให้ลูกค้ากลับมาทำแผลใหม่ ไม่มีค่าใช้จ่ายเพิ่ม</v>
      </c>
      <c r="O49" s="19" t="str">
        <f>OfficeForms.Table[[#This Row],[รหัสพนักงานผู้รายงาน (เพื่อสอบถามข้อมูลเพิ่มเติม)]]</f>
        <v>0226</v>
      </c>
      <c r="P49" s="19" t="str">
        <f>OfficeForms.Table[[#This Row],[ชื่อพนักงานที่อยู่ในเหตุการณ์]]</f>
        <v>ธิดารัตน์ ทูลพุทธา</v>
      </c>
      <c r="Q49" s="19" t="str">
        <f>OfficeForms.Table[[#This Row],[ต้องคืนเงิน/ Credit note ลูกค้าหรือไม่]]</f>
        <v>ไม่ต้อง</v>
      </c>
      <c r="R49" s="19">
        <f>OfficeForms.Table[[#This Row],[Invoice'#/ Prepayment'#]]</f>
        <v>0</v>
      </c>
      <c r="S49" s="19">
        <f>OfficeForms.Table[[#This Row],[วันที่รับเงิน]]</f>
        <v>0</v>
      </c>
      <c r="T49" s="19">
        <f>OfficeForms.Table[[#This Row],[ชำระโดย]]</f>
        <v>0</v>
      </c>
      <c r="U49" s="19">
        <f>OfficeForms.Table[[#This Row],[ต้อง Adjust หรือ คืนเงินลูกค้าทางช่องทางใด]]</f>
        <v>0</v>
      </c>
      <c r="V49" s="19">
        <f>OfficeForms.Table[[#This Row],[ชื่อรายการที่ต้องคืน และมูลค่า (รวม VAT)]]</f>
        <v>0</v>
      </c>
      <c r="Y49" s="19"/>
    </row>
    <row r="50" spans="1:27" ht="28.5" hidden="1" customHeight="1">
      <c r="A50" s="19">
        <f>OfficeForms.Table[[#This Row],[Id]]</f>
        <v>51</v>
      </c>
      <c r="B50" s="18">
        <f>OfficeForms.Table[[#This Row],[Start time]]</f>
        <v>45889.609398148197</v>
      </c>
      <c r="C50" s="18">
        <f>OfficeForms.Table[[#This Row],[Completion time]]</f>
        <v>45889.611643518503</v>
      </c>
      <c r="D50" s="19" t="str">
        <f>OfficeForms.Table[[#This Row],[Email]]</f>
        <v>anonymous</v>
      </c>
      <c r="E50" s="19">
        <f>OfficeForms.Table[[#This Row],[Name]]</f>
        <v>0</v>
      </c>
      <c r="F50" s="19" t="str">
        <f>OfficeForms.Table[[#This Row],[สาขาที่เข้ารับบริการ]]</f>
        <v>สาขาทองหล่อ</v>
      </c>
      <c r="G50" s="18">
        <f>OfficeForms.Table[[#This Row],[วันที่เกิดเหตุ]]</f>
        <v>45876</v>
      </c>
      <c r="H50" s="19" t="str">
        <f>OfficeForms.Table[[#This Row],[ชื่อสัตว์เลี้ยง หรือ HN สัตว์เลี้ยง]]</f>
        <v>เฌอนุ่น 12794</v>
      </c>
      <c r="I50" s="19" t="str">
        <f>OfficeForms.Table[[#This Row],[ชื่อผู้ร้องเรียน]]</f>
        <v>ตูน</v>
      </c>
      <c r="J50" s="19" t="str">
        <f>OfficeForms.Table[[#This Row],[เบอร์โทรศัพท์ผู้ร้องเรียน]]</f>
        <v>0949941670</v>
      </c>
      <c r="K50" s="19" t="str">
        <f>OfficeForms.Table[[#This Row],[หน่วยงานที่ถูกร้องเรียน]]</f>
        <v>NURSE IPD</v>
      </c>
      <c r="L50" s="19" t="s">
        <v>587</v>
      </c>
      <c r="M50" s="19" t="str">
        <f>OfficeForms.Table[[#This Row],[รายละเอียดข้อร้องเรียน]]</f>
        <v>ป้อนยาผิดตัว ทำให้เกิดค่าใช้จ่ายในการตรวจเลือด</v>
      </c>
      <c r="N50" s="19">
        <f>OfficeForms.Table[[#This Row],[การแก้ไขเบื้องต้น (ถ้ามี)]]</f>
        <v>0</v>
      </c>
      <c r="O50" s="19" t="str">
        <f>OfficeForms.Table[[#This Row],[รหัสพนักงานผู้รายงาน (เพื่อสอบถามข้อมูลเพิ่มเติม)]]</f>
        <v>0288</v>
      </c>
      <c r="P50" s="19" t="str">
        <f>OfficeForms.Table[[#This Row],[ชื่อพนักงานที่อยู่ในเหตุการณ์]]</f>
        <v>ตูน</v>
      </c>
      <c r="Q50" s="19" t="str">
        <f>OfficeForms.Table[[#This Row],[ต้องคืนเงิน/ Credit note ลูกค้าหรือไม่]]</f>
        <v>ต้อง</v>
      </c>
      <c r="R50" s="19">
        <f>OfficeForms.Table[[#This Row],[Invoice'#/ Prepayment'#]]</f>
        <v>0</v>
      </c>
      <c r="S50" s="19">
        <f>OfficeForms.Table[[#This Row],[วันที่รับเงิน]]</f>
        <v>0</v>
      </c>
      <c r="T50" s="19">
        <f>OfficeForms.Table[[#This Row],[ชำระโดย]]</f>
        <v>0</v>
      </c>
      <c r="U50" s="19">
        <f>OfficeForms.Table[[#This Row],[ต้อง Adjust หรือ คืนเงินลูกค้าทางช่องทางใด]]</f>
        <v>0</v>
      </c>
      <c r="V50" s="19">
        <f>OfficeForms.Table[[#This Row],[ชื่อรายการที่ต้องคืน และมูลค่า (รวม VAT)]]</f>
        <v>0</v>
      </c>
      <c r="W50" s="19" t="s">
        <v>587</v>
      </c>
      <c r="Y50" s="19"/>
    </row>
    <row r="51" spans="1:27" ht="28.5" hidden="1" customHeight="1">
      <c r="A51" s="19">
        <f>OfficeForms.Table[[#This Row],[Id]]</f>
        <v>52</v>
      </c>
      <c r="B51" s="18">
        <f>OfficeForms.Table[[#This Row],[Start time]]</f>
        <v>45889.6896180556</v>
      </c>
      <c r="C51" s="18">
        <f>OfficeForms.Table[[#This Row],[Completion time]]</f>
        <v>45889.6944097222</v>
      </c>
      <c r="D51" s="19" t="str">
        <f>OfficeForms.Table[[#This Row],[Email]]</f>
        <v>anonymous</v>
      </c>
      <c r="E51" s="19">
        <f>OfficeForms.Table[[#This Row],[Name]]</f>
        <v>0</v>
      </c>
      <c r="F51" s="19" t="str">
        <f>OfficeForms.Table[[#This Row],[สาขาที่เข้ารับบริการ]]</f>
        <v>สาขาทองหล่อ</v>
      </c>
      <c r="G51" s="18">
        <f>OfficeForms.Table[[#This Row],[วันที่เกิดเหตุ]]</f>
        <v>45889</v>
      </c>
      <c r="H51" s="19" t="str">
        <f>OfficeForms.Table[[#This Row],[ชื่อสัตว์เลี้ยง หรือ HN สัตว์เลี้ยง]]</f>
        <v>Chopper</v>
      </c>
      <c r="I51" s="19" t="str">
        <f>OfficeForms.Table[[#This Row],[ชื่อผู้ร้องเรียน]]</f>
        <v>หมอพล (รายงานแทน)</v>
      </c>
      <c r="J51" s="19" t="str">
        <f>OfficeForms.Table[[#This Row],[เบอร์โทรศัพท์ผู้ร้องเรียน]]</f>
        <v>0935295359</v>
      </c>
      <c r="K51" s="19" t="str">
        <f>OfficeForms.Table[[#This Row],[หน่วยงานที่ถูกร้องเรียน]]</f>
        <v>VET</v>
      </c>
      <c r="L51" s="19" t="s">
        <v>580</v>
      </c>
      <c r="M51" s="19" t="str">
        <f>OfficeForms.Table[[#This Row],[รายละเอียดข้อร้องเรียน]]</f>
        <v>การสื่อสารแผนการรักษาให้ชัดเจนกับเจ้าของ ทำให้เจ้าของไม่พอใจที่น้องต้องวางยาเพื่อทำ MRI อีกครั้ง</v>
      </c>
      <c r="N51" s="19" t="str">
        <f>OfficeForms.Table[[#This Row],[การแก้ไขเบื้องต้น (ถ้ามี)]]</f>
        <v>Compensate ค่า MRI จาก 23000 เหลือ 15000</v>
      </c>
      <c r="O51" s="19" t="str">
        <f>OfficeForms.Table[[#This Row],[รหัสพนักงานผู้รายงาน (เพื่อสอบถามข้อมูลเพิ่มเติม)]]</f>
        <v>หมอปุ้ย</v>
      </c>
      <c r="P51" s="19" t="str">
        <f>OfficeForms.Table[[#This Row],[ชื่อพนักงานที่อยู่ในเหตุการณ์]]</f>
        <v>หมอปุ้ย</v>
      </c>
      <c r="Q51" s="19" t="str">
        <f>OfficeForms.Table[[#This Row],[ต้องคืนเงิน/ Credit note ลูกค้าหรือไม่]]</f>
        <v>ต้อง</v>
      </c>
      <c r="R51" s="19" t="str">
        <f>OfficeForms.Table[[#This Row],[Invoice'#/ Prepayment'#]]</f>
        <v>ยังไม่มี invoice</v>
      </c>
      <c r="S51" s="19">
        <f>OfficeForms.Table[[#This Row],[วันที่รับเงิน]]</f>
        <v>0</v>
      </c>
      <c r="T51" s="19">
        <f>OfficeForms.Table[[#This Row],[ชำระโดย]]</f>
        <v>0</v>
      </c>
      <c r="U51" s="19" t="str">
        <f>OfficeForms.Table[[#This Row],[ต้อง Adjust หรือ คืนเงินลูกค้าทางช่องทางใด]]</f>
        <v>Credit note</v>
      </c>
      <c r="V51" s="19" t="str">
        <f>OfficeForms.Table[[#This Row],[ชื่อรายการที่ต้องคืน และมูลค่า (รวม VAT)]]</f>
        <v>ลดราคา Bundle MRI จาก 23000 เหลือ 15000</v>
      </c>
      <c r="W51" s="19" t="s">
        <v>580</v>
      </c>
      <c r="X51" s="19" t="s">
        <v>1135</v>
      </c>
      <c r="Y51" s="19"/>
      <c r="AA51" s="19" t="s">
        <v>1137</v>
      </c>
    </row>
    <row r="52" spans="1:27" ht="28.5" hidden="1" customHeight="1">
      <c r="A52" s="19">
        <f>OfficeForms.Table[[#This Row],[Id]]</f>
        <v>53</v>
      </c>
      <c r="B52" s="18">
        <f>OfficeForms.Table[[#This Row],[Start time]]</f>
        <v>45891.534849536998</v>
      </c>
      <c r="C52" s="18">
        <f>OfficeForms.Table[[#This Row],[Completion time]]</f>
        <v>45891.537361111099</v>
      </c>
      <c r="D52" s="19" t="str">
        <f>OfficeForms.Table[[#This Row],[Email]]</f>
        <v>anonymous</v>
      </c>
      <c r="E52" s="19">
        <f>OfficeForms.Table[[#This Row],[Name]]</f>
        <v>0</v>
      </c>
      <c r="F52" s="19" t="str">
        <f>OfficeForms.Table[[#This Row],[สาขาที่เข้ารับบริการ]]</f>
        <v>สาขาทองหล่อ</v>
      </c>
      <c r="G52" s="18">
        <f>OfficeForms.Table[[#This Row],[วันที่เกิดเหตุ]]</f>
        <v>45891</v>
      </c>
      <c r="H52" s="19" t="str">
        <f>OfficeForms.Table[[#This Row],[ชื่อสัตว์เลี้ยง หรือ HN สัตว์เลี้ยง]]</f>
        <v>แดอุน 11397</v>
      </c>
      <c r="I52" s="19" t="str">
        <f>OfficeForms.Table[[#This Row],[ชื่อผู้ร้องเรียน]]</f>
        <v>ธัญญภัสร์ กฤติธนินท์ศักดิ์</v>
      </c>
      <c r="J52" s="19" t="str">
        <f>OfficeForms.Table[[#This Row],[เบอร์โทรศัพท์ผู้ร้องเรียน]]</f>
        <v>0964149395</v>
      </c>
      <c r="K52" s="19" t="str">
        <f>OfficeForms.Table[[#This Row],[หน่วยงานที่ถูกร้องเรียน]]</f>
        <v>NURSE IPD</v>
      </c>
      <c r="L52" s="19" t="s">
        <v>1126</v>
      </c>
      <c r="M52" s="19" t="str">
        <f>OfficeForms.Table[[#This Row],[รายละเอียดข้อร้องเรียน]]</f>
        <v>ลืมนำยาบนวอร์ดให้ลูกค้าก่อนกลับบ้านปล่อยให้ลูกค้าต้องนั่งรอนานๆ</v>
      </c>
      <c r="N52" s="19">
        <f>OfficeForms.Table[[#This Row],[การแก้ไขเบื้องต้น (ถ้ามี)]]</f>
        <v>0</v>
      </c>
      <c r="O52" s="19" t="str">
        <f>OfficeForms.Table[[#This Row],[รหัสพนักงานผู้รายงาน (เพื่อสอบถามข้อมูลเพิ่มเติม)]]</f>
        <v>0000</v>
      </c>
      <c r="P52" s="19" t="str">
        <f>OfficeForms.Table[[#This Row],[ชื่อพนักงานที่อยู่ในเหตุการณ์]]</f>
        <v>เนย ปิ่น ไอซ์</v>
      </c>
      <c r="Q52" s="19" t="str">
        <f>OfficeForms.Table[[#This Row],[ต้องคืนเงิน/ Credit note ลูกค้าหรือไม่]]</f>
        <v>ไม่ต้อง</v>
      </c>
      <c r="R52" s="19">
        <f>OfficeForms.Table[[#This Row],[Invoice'#/ Prepayment'#]]</f>
        <v>0</v>
      </c>
      <c r="S52" s="19">
        <f>OfficeForms.Table[[#This Row],[วันที่รับเงิน]]</f>
        <v>0</v>
      </c>
      <c r="T52" s="19">
        <f>OfficeForms.Table[[#This Row],[ชำระโดย]]</f>
        <v>0</v>
      </c>
      <c r="U52" s="19">
        <f>OfficeForms.Table[[#This Row],[ต้อง Adjust หรือ คืนเงินลูกค้าทางช่องทางใด]]</f>
        <v>0</v>
      </c>
      <c r="V52" s="19">
        <f>OfficeForms.Table[[#This Row],[ชื่อรายการที่ต้องคืน และมูลค่า (รวม VAT)]]</f>
        <v>0</v>
      </c>
      <c r="W52" s="19" t="s">
        <v>1126</v>
      </c>
      <c r="Y52" s="19"/>
    </row>
    <row r="53" spans="1:27" ht="28.5" hidden="1" customHeight="1">
      <c r="A53" s="19">
        <f>OfficeForms.Table[[#This Row],[Id]]</f>
        <v>54</v>
      </c>
      <c r="B53" s="18">
        <f>OfficeForms.Table[[#This Row],[Start time]]</f>
        <v>45891.635821759301</v>
      </c>
      <c r="C53" s="18">
        <f>OfficeForms.Table[[#This Row],[Completion time]]</f>
        <v>45891.645324074103</v>
      </c>
      <c r="D53" s="19" t="str">
        <f>OfficeForms.Table[[#This Row],[Email]]</f>
        <v>anonymous</v>
      </c>
      <c r="E53" s="19">
        <f>OfficeForms.Table[[#This Row],[Name]]</f>
        <v>0</v>
      </c>
      <c r="F53" s="19" t="str">
        <f>OfficeForms.Table[[#This Row],[สาขาที่เข้ารับบริการ]]</f>
        <v>สาขาทองหล่อ</v>
      </c>
      <c r="G53" s="18">
        <f>OfficeForms.Table[[#This Row],[วันที่เกิดเหตุ]]</f>
        <v>45880</v>
      </c>
      <c r="H53" s="19" t="str">
        <f>OfficeForms.Table[[#This Row],[ชื่อสัตว์เลี้ยง หรือ HN สัตว์เลี้ยง]]</f>
        <v>ไลก้า</v>
      </c>
      <c r="I53" s="19" t="str">
        <f>OfficeForms.Table[[#This Row],[ชื่อผู้ร้องเรียน]]</f>
        <v xml:space="preserve"> พิชชากร คุณวุฒิโอภาส (3892)</v>
      </c>
      <c r="J53" s="19" t="str">
        <f>OfficeForms.Table[[#This Row],[เบอร์โทรศัพท์ผู้ร้องเรียน]]</f>
        <v>66 65 540 9999</v>
      </c>
      <c r="K53" s="19" t="str">
        <f>OfficeForms.Table[[#This Row],[หน่วยงานที่ถูกร้องเรียน]]</f>
        <v>VET</v>
      </c>
      <c r="L53" s="19" t="s">
        <v>576</v>
      </c>
      <c r="M53" s="19" t="str">
        <f>OfficeForms.Table[[#This Row],[รายละเอียดข้อร้องเรียน]]</f>
        <v>ลูกค้า email Complain เข้ามาแจ้งว่าตั้งใจมาขูดหินปูน ก่อนเข้ารับบริการ สัตวแพทย์ได้แจ้งว่าอาจมีการถอนฟันเพิ่มเติม โดยคิดราคา “ซี่ละ 1,000–3,000 บาท” ซึ่งดิฉันได้ปฏิเสธมาตลอด ไม่ต้องการให้ถอนฟัน เพราะเกรงว่าสุนัขจะเจ็บตัวโดยไม่จำเป็น และสัตวแพทย์ก็ยืนยันว่าหากไม่มีปัญหามากก็ไม่ต้องถอน กระทั่งวันถัดมา เมื่อได้พบสัตวแพทย์อีกท่านก็ได้แจ้งเช่นเดียวกัน และดิฉันก็ยังคงยืนยันปฏิเสธเช่นเดิม อย่างไรก็ตาม ในระหว่างที่สุนัขอยู่ระหว่างการขูดหินปูน ทางโรงพยาบาลมีการโทรมาแจ้งว่าควรถอนฟันด้วยเหตุผลทางการแพทย์ ด้วยความรักสุนัขจึงอนุมัติให้ดำเนินการ แต่ในสายไม่เคยมีการแจ้งว่าจะมีค่าใช้จ่ายเพิ่มเติมในส่วนยาและอุปกรณ์อื่น ๆ ที่นอกเหนือจากราคาที่แจ้งไว้ก่อนหน้า ซึ่งถือว่าเป็นการเอาเปรียบผู้บริโภค เพราะเจ้าของไม่ได้รับข้อมูลที่ครบถ้วนก่อนการตัดสินใจ 2.ประสบการณ์ที่รู้สึกเหมือนถูกบังคับให้จ่ายโดยส่วนตัวเคยใช้บริการโรงพยาบาลสัตว์เอกชนหลายแห่ง เข้าใจดีว่ามีค่าใช้จ่ายสูง และสัตวแพทย์จำเป็นต้องมีเป้าหมายยอดรายได้ แต่ครั้งนี้กลับรู้สึกชัดเจนว่า การขายบริการและการคิดค่าใช้จ่าย ถูกให้ความสำคัญมากกว่าการตัดสินใจของเจ้าของสัตว์เลี้ยง แตกต่างจากโรงพยาบาลอื่น ๆ ที่ถึงแม้มีค่าใช้จ่ายสูง ดิฉันก็ยินดีจ่ายเพราะได้รับการสื่อสารที่โปร่งใสและเป็นธรรม</v>
      </c>
      <c r="N53" s="19" t="s">
        <v>1138</v>
      </c>
      <c r="O53" s="19" t="str">
        <f>OfficeForms.Table[[#This Row],[รหัสพนักงานผู้รายงาน (เพื่อสอบถามข้อมูลเพิ่มเติม)]]</f>
        <v>0305</v>
      </c>
      <c r="P53" s="19" t="str">
        <f>OfficeForms.Table[[#This Row],[ชื่อพนักงานที่อยู่ในเหตุการณ์]]</f>
        <v>เปรมพร</v>
      </c>
      <c r="Q53" s="19" t="str">
        <f>OfficeForms.Table[[#This Row],[ต้องคืนเงิน/ Credit note ลูกค้าหรือไม่]]</f>
        <v>ต้อง</v>
      </c>
      <c r="R53" s="19" t="str">
        <f>OfficeForms.Table[[#This Row],[Invoice'#/ Prepayment'#]]</f>
        <v>21250015544</v>
      </c>
      <c r="S53" s="19">
        <f>OfficeForms.Table[[#This Row],[วันที่รับเงิน]]</f>
        <v>45881</v>
      </c>
      <c r="T53" s="19" t="str">
        <f>OfficeForms.Table[[#This Row],[ชำระโดย]]</f>
        <v>QR code</v>
      </c>
      <c r="U53" s="19" t="str">
        <f>OfficeForms.Table[[#This Row],[ต้อง Adjust หรือ คืนเงินลูกค้าทางช่องทางใด]]</f>
        <v>คืนเงินลูกค้า (เข้า Prepayment)</v>
      </c>
      <c r="V53" s="19" t="str">
        <f>OfficeForms.Table[[#This Row],[ชื่อรายการที่ต้องคืน และมูลค่า (รวม VAT)]]</f>
        <v>Damage 1160 บาท</v>
      </c>
      <c r="W53" s="19" t="s">
        <v>576</v>
      </c>
      <c r="X53" s="19" t="s">
        <v>1131</v>
      </c>
      <c r="Y53" s="26">
        <v>45891</v>
      </c>
    </row>
    <row r="54" spans="1:27" ht="67.5" hidden="1" customHeight="1">
      <c r="A54" s="19">
        <f>OfficeForms.Table[[#This Row],[Id]]</f>
        <v>56</v>
      </c>
      <c r="B54" s="18">
        <f>OfficeForms.Table[[#This Row],[Start time]]</f>
        <v>45891.698252314804</v>
      </c>
      <c r="C54" s="18">
        <f>OfficeForms.Table[[#This Row],[Completion time]]</f>
        <v>45891.701921296299</v>
      </c>
      <c r="D54" s="19" t="str">
        <f>OfficeForms.Table[[#This Row],[Email]]</f>
        <v>anonymous</v>
      </c>
      <c r="E54" s="19">
        <f>OfficeForms.Table[[#This Row],[Name]]</f>
        <v>0</v>
      </c>
      <c r="F54" s="19" t="str">
        <f>OfficeForms.Table[[#This Row],[สาขาที่เข้ารับบริการ]]</f>
        <v>สาขาทองหล่อ</v>
      </c>
      <c r="G54" s="18">
        <f>OfficeForms.Table[[#This Row],[วันที่เกิดเหตุ]]</f>
        <v>45885</v>
      </c>
      <c r="H54" s="19" t="str">
        <f>OfficeForms.Table[[#This Row],[ชื่อสัตว์เลี้ยง หรือ HN สัตว์เลี้ยง]]</f>
        <v>ลูน่า (Luna)</v>
      </c>
      <c r="I54" s="19" t="str">
        <f>OfficeForms.Table[[#This Row],[ชื่อผู้ร้องเรียน]]</f>
        <v xml:space="preserve"> นภพรรษ ธนธีรากุล (10364)</v>
      </c>
      <c r="J54" s="19" t="str">
        <f>OfficeForms.Table[[#This Row],[เบอร์โทรศัพท์ผู้ร้องเรียน]]</f>
        <v xml:space="preserve">66 99 452 4651 </v>
      </c>
      <c r="K54" s="19" t="str">
        <f>OfficeForms.Table[[#This Row],[หน่วยงานที่ถูกร้องเรียน]]</f>
        <v>.Back Office/Support</v>
      </c>
      <c r="L54" s="19" t="s">
        <v>710</v>
      </c>
      <c r="M54" s="19" t="str">
        <f>OfficeForms.Table[[#This Row],[รายละเอียดข้อร้องเรียน]]</f>
        <v xml:space="preserve">เจ้าของเอาน้องมาฝากที่รร. โดยใช้ Pro 5 คืนคิด 3 คืนโดยขอให้ตดกล้องด้วย ทาง Admin Confirm ว่าคิดค่ากล้อง 300 บาท ทางลูกค้าไม่ยอมจ่ายอีก 2 คืน เป็น มุลค่า 200 บาท  </v>
      </c>
      <c r="N54" s="19">
        <f>OfficeForms.Table[[#This Row],[การแก้ไขเบื้องต้น (ถ้ามี)]]</f>
        <v>0</v>
      </c>
      <c r="O54" s="19" t="str">
        <f>OfficeForms.Table[[#This Row],[รหัสพนักงานผู้รายงาน (เพื่อสอบถามข้อมูลเพิ่มเติม)]]</f>
        <v>บอส</v>
      </c>
      <c r="P54" s="19" t="str">
        <f>OfficeForms.Table[[#This Row],[ชื่อพนักงานที่อยู่ในเหตุการณ์]]</f>
        <v>บอส</v>
      </c>
      <c r="Q54" s="19" t="str">
        <f>OfficeForms.Table[[#This Row],[ต้องคืนเงิน/ Credit note ลูกค้าหรือไม่]]</f>
        <v>ไม่ต้อง</v>
      </c>
      <c r="R54" s="19">
        <f>OfficeForms.Table[[#This Row],[Invoice'#/ Prepayment'#]]</f>
        <v>0</v>
      </c>
      <c r="S54" s="19">
        <f>OfficeForms.Table[[#This Row],[วันที่รับเงิน]]</f>
        <v>0</v>
      </c>
      <c r="T54" s="19">
        <f>OfficeForms.Table[[#This Row],[ชำระโดย]]</f>
        <v>0</v>
      </c>
      <c r="U54" s="19">
        <f>OfficeForms.Table[[#This Row],[ต้อง Adjust หรือ คืนเงินลูกค้าทางช่องทางใด]]</f>
        <v>0</v>
      </c>
      <c r="V54" s="19">
        <f>OfficeForms.Table[[#This Row],[ชื่อรายการที่ต้องคืน และมูลค่า (รวม VAT)]]</f>
        <v>0</v>
      </c>
      <c r="W54" s="19" t="s">
        <v>710</v>
      </c>
      <c r="X54" s="19" t="s">
        <v>1135</v>
      </c>
      <c r="Y54" s="26">
        <v>45894</v>
      </c>
    </row>
    <row r="55" spans="1:27" ht="81.75" hidden="1" customHeight="1">
      <c r="A55" s="19">
        <f>OfficeForms.Table[[#This Row],[Id]]</f>
        <v>57</v>
      </c>
      <c r="B55" s="18">
        <f>OfficeForms.Table[[#This Row],[Start time]]</f>
        <v>45893.853969907403</v>
      </c>
      <c r="C55" s="18">
        <f>OfficeForms.Table[[#This Row],[Completion time]]</f>
        <v>45893.861527777801</v>
      </c>
      <c r="D55" s="19" t="str">
        <f>OfficeForms.Table[[#This Row],[Email]]</f>
        <v>anonymous</v>
      </c>
      <c r="E55" s="19">
        <f>OfficeForms.Table[[#This Row],[Name]]</f>
        <v>0</v>
      </c>
      <c r="F55" s="19" t="str">
        <f>OfficeForms.Table[[#This Row],[สาขาที่เข้ารับบริการ]]</f>
        <v>สาขาทองหล่อ</v>
      </c>
      <c r="G55" s="18">
        <f>OfficeForms.Table[[#This Row],[วันที่เกิดเหตุ]]</f>
        <v>45893</v>
      </c>
      <c r="H55" s="19" t="str">
        <f>OfficeForms.Table[[#This Row],[ชื่อสัตว์เลี้ยง หรือ HN สัตว์เลี้ยง]]</f>
        <v>บุญชู (14923)</v>
      </c>
      <c r="I55" s="19" t="str">
        <f>OfficeForms.Table[[#This Row],[ชื่อผู้ร้องเรียน]]</f>
        <v>กาญจน์ศิริ บุนนาค  (10604)</v>
      </c>
      <c r="J55" s="19" t="str">
        <f>OfficeForms.Table[[#This Row],[เบอร์โทรศัพท์ผู้ร้องเรียน]]</f>
        <v>099 236 5989</v>
      </c>
      <c r="K55" s="19" t="str">
        <f>OfficeForms.Table[[#This Row],[หน่วยงานที่ถูกร้องเรียน]]</f>
        <v>NURSE IPD</v>
      </c>
      <c r="L55" s="19" t="s">
        <v>576</v>
      </c>
      <c r="M55" s="19" t="str">
        <f>OfficeForms.Table[[#This Row],[รายละเอียดข้อร้องเรียน]]</f>
        <v>ลูกค้าโทรมาสอบถามการให้ยา เนื่องจากพึ่งกลับบ้านไป Front โทรขึ้นไปวอร์ดเพื่อสอบถาม โทรติดพยาบาลรอบแรก พยาบาลแจ้งว่าขอไปดูแพลนก่อนแล้วตัดสาย Front แจ้งลูกค้าแล้วว่าขอติดต่อกลับ แต่เขาขอรอ จนค่อนข้างนาน front เลยโทรหาพยาบาลอีกรอบ พยาบาลรับแล้ว Front แจ้งว่าเจ้าของอยากคุยกับพยาบาลไม่ใช่หมอ พยาบาลแจ้ง ค่ะ แล้วตัดสายอีกรอบ ทำให้เจ้าขอถือรายรอเกือบ 15 นาที จนเจ้าของวางไปเอง เจ้าของติดต่อกลับมาใหม่และคอมเพลนในส่วนของการให้ถือสายรอนาน และไม่เข้าใจเหตุผลว่าทำไมพยาบาลไม่คุยกับเขาโดยตรง แจ้งข้อมูลไปๆกลับผ่าน Front  แล้วเขาไม่ได้คำตอบที่ต้องการ ทำให้แมวได้รับยาช้ากว่ากำหนดเวลาที่ควรให้</v>
      </c>
      <c r="N55" s="19" t="s">
        <v>1139</v>
      </c>
      <c r="O55" s="19" t="str">
        <f>OfficeForms.Table[[#This Row],[รหัสพนักงานผู้รายงาน (เพื่อสอบถามข้อมูลเพิ่มเติม)]]</f>
        <v>อ๋อ/แพรวา</v>
      </c>
      <c r="P55" s="19" t="str">
        <f>OfficeForms.Table[[#This Row],[ชื่อพนักงานที่อยู่ในเหตุการณ์]]</f>
        <v>อ๋อ/แพรวา</v>
      </c>
      <c r="Q55" s="19" t="str">
        <f>OfficeForms.Table[[#This Row],[ต้องคืนเงิน/ Credit note ลูกค้าหรือไม่]]</f>
        <v>ไม่ต้อง</v>
      </c>
      <c r="R55" s="19">
        <f>OfficeForms.Table[[#This Row],[Invoice'#/ Prepayment'#]]</f>
        <v>0</v>
      </c>
      <c r="S55" s="19">
        <f>OfficeForms.Table[[#This Row],[วันที่รับเงิน]]</f>
        <v>0</v>
      </c>
      <c r="T55" s="19">
        <f>OfficeForms.Table[[#This Row],[ชำระโดย]]</f>
        <v>0</v>
      </c>
      <c r="U55" s="19">
        <f>OfficeForms.Table[[#This Row],[ต้อง Adjust หรือ คืนเงินลูกค้าทางช่องทางใด]]</f>
        <v>0</v>
      </c>
      <c r="V55" s="19">
        <f>OfficeForms.Table[[#This Row],[ชื่อรายการที่ต้องคืน และมูลค่า (รวม VAT)]]</f>
        <v>0</v>
      </c>
      <c r="W55" s="19" t="s">
        <v>576</v>
      </c>
      <c r="X55" s="19" t="s">
        <v>1133</v>
      </c>
      <c r="Y55" s="19"/>
    </row>
    <row r="56" spans="1:27" ht="181.5" hidden="1" customHeight="1">
      <c r="A56" s="19">
        <f>OfficeForms.Table[[#This Row],[Id]]</f>
        <v>58</v>
      </c>
      <c r="B56" s="18">
        <f>OfficeForms.Table[[#This Row],[Start time]]</f>
        <v>45896.644398148099</v>
      </c>
      <c r="C56" s="18">
        <f>OfficeForms.Table[[#This Row],[Completion time]]</f>
        <v>45896.645902777796</v>
      </c>
      <c r="D56" s="19" t="str">
        <f>OfficeForms.Table[[#This Row],[Email]]</f>
        <v>anonymous</v>
      </c>
      <c r="E56" s="19">
        <f>OfficeForms.Table[[#This Row],[Name]]</f>
        <v>0</v>
      </c>
      <c r="F56" s="19" t="str">
        <f>OfficeForms.Table[[#This Row],[สาขาที่เข้ารับบริการ]]</f>
        <v>สาขาทองหล่อ</v>
      </c>
      <c r="G56" s="18">
        <f>OfficeForms.Table[[#This Row],[วันที่เกิดเหตุ]]</f>
        <v>45896</v>
      </c>
      <c r="H56" s="19" t="str">
        <f>OfficeForms.Table[[#This Row],[ชื่อสัตว์เลี้ยง หรือ HN สัตว์เลี้ยง]]</f>
        <v>Bo (7520)</v>
      </c>
      <c r="I56" s="19" t="str">
        <f>OfficeForms.Table[[#This Row],[ชื่อผู้ร้องเรียน]]</f>
        <v>Samantha(5408)</v>
      </c>
      <c r="J56" s="19" t="str">
        <f>OfficeForms.Table[[#This Row],[เบอร์โทรศัพท์ผู้ร้องเรียน]]</f>
        <v>+66 65 835 2040</v>
      </c>
      <c r="K56" s="19" t="str">
        <f>OfficeForms.Table[[#This Row],[หน่วยงานที่ถูกร้องเรียน]]</f>
        <v>FRONT</v>
      </c>
      <c r="L56" s="19" t="s">
        <v>603</v>
      </c>
      <c r="M56" s="19" t="str">
        <f>OfficeForms.Table[[#This Row],[รายละเอียดข้อร้องเรียน]]</f>
        <v>รอนาน</v>
      </c>
      <c r="N56" s="19">
        <f>OfficeForms.Table[[#This Row],[การแก้ไขเบื้องต้น (ถ้ามี)]]</f>
        <v>0</v>
      </c>
      <c r="O56" s="19" t="str">
        <f>OfficeForms.Table[[#This Row],[รหัสพนักงานผู้รายงาน (เพื่อสอบถามข้อมูลเพิ่มเติม)]]</f>
        <v>1026</v>
      </c>
      <c r="P56" s="19" t="str">
        <f>OfficeForms.Table[[#This Row],[ชื่อพนักงานที่อยู่ในเหตุการณ์]]</f>
        <v>ARM</v>
      </c>
      <c r="Q56" s="19" t="str">
        <f>OfficeForms.Table[[#This Row],[ต้องคืนเงิน/ Credit note ลูกค้าหรือไม่]]</f>
        <v>ไม่ต้อง</v>
      </c>
      <c r="R56" s="19">
        <f>OfficeForms.Table[[#This Row],[Invoice'#/ Prepayment'#]]</f>
        <v>0</v>
      </c>
      <c r="S56" s="19">
        <f>OfficeForms.Table[[#This Row],[วันที่รับเงิน]]</f>
        <v>0</v>
      </c>
      <c r="T56" s="19">
        <f>OfficeForms.Table[[#This Row],[ชำระโดย]]</f>
        <v>0</v>
      </c>
      <c r="U56" s="19">
        <f>OfficeForms.Table[[#This Row],[ต้อง Adjust หรือ คืนเงินลูกค้าทางช่องทางใด]]</f>
        <v>0</v>
      </c>
      <c r="V56" s="19">
        <f>OfficeForms.Table[[#This Row],[ชื่อรายการที่ต้องคืน และมูลค่า (รวม VAT)]]</f>
        <v>0</v>
      </c>
      <c r="W56" s="19" t="s">
        <v>603</v>
      </c>
      <c r="X56" s="19" t="s">
        <v>1131</v>
      </c>
      <c r="Y56" s="26">
        <v>45924</v>
      </c>
    </row>
    <row r="57" spans="1:27" ht="28.5" hidden="1" customHeight="1">
      <c r="A57" s="19">
        <f>OfficeForms.Table[[#This Row],[Id]]</f>
        <v>59</v>
      </c>
      <c r="B57" s="18">
        <f>OfficeForms.Table[[#This Row],[Start time]]</f>
        <v>45899.424756944398</v>
      </c>
      <c r="C57" s="18">
        <f>OfficeForms.Table[[#This Row],[Completion time]]</f>
        <v>45899.440752314797</v>
      </c>
      <c r="D57" s="19" t="str">
        <f>OfficeForms.Table[[#This Row],[Email]]</f>
        <v>anonymous</v>
      </c>
      <c r="E57" s="19">
        <f>OfficeForms.Table[[#This Row],[Name]]</f>
        <v>0</v>
      </c>
      <c r="F57" s="19" t="str">
        <f>OfficeForms.Table[[#This Row],[สาขาที่เข้ารับบริการ]]</f>
        <v>สาขาทองหล่อ</v>
      </c>
      <c r="G57" s="18">
        <f>OfficeForms.Table[[#This Row],[วันที่เกิดเหตุ]]</f>
        <v>45898</v>
      </c>
      <c r="H57" s="19" t="str">
        <f>OfficeForms.Table[[#This Row],[ชื่อสัตว์เลี้ยง หรือ HN สัตว์เลี้ยง]]</f>
        <v>โบแบ (780)</v>
      </c>
      <c r="I57" s="19" t="str">
        <f>OfficeForms.Table[[#This Row],[ชื่อผู้ร้องเรียน]]</f>
        <v xml:space="preserve">วินน์ สุทธิเดช (567) </v>
      </c>
      <c r="J57" s="19" t="str">
        <f>OfficeForms.Table[[#This Row],[เบอร์โทรศัพท์ผู้ร้องเรียน]]</f>
        <v>0956859946</v>
      </c>
      <c r="K57" s="19" t="str">
        <f>OfficeForms.Table[[#This Row],[หน่วยงานที่ถูกร้องเรียน]]</f>
        <v>.Back Office/Support</v>
      </c>
      <c r="M57" s="19" t="str">
        <f>OfficeForms.Table[[#This Row],[รายละเอียดข้อร้องเรียน]]</f>
        <v>เจ้าของแจ้งว่า - รพ เคยจะคิดระบบ ที่ customer friendly กว่านี้มาแทนไหมครับ แอบลำบากเกินครับ ง่ายๆ เลขบัญชีหรือ QR บัญชี แล้วให้ ลูกค้าแจ้งสลิปโอนคือง่าย สุดสรุป การชำระนอก รพ นะครับ  เพื่อจะ พัฒนาให้ ลูกค้าสะดวกๆ มากขึ้น - เกิดจากการที่ลูกค้าพาน้องกลับบ้านไปโดยไม่ได้มาชำระเงินที่เค้าท์เตอร์ จึงส่งเก็บเงินทางไลน์ ลูกค้าขอคิวอาร์แต่หน้างานติดลูกค้าไม่สะดวกส่งให้ทันทีที่เขาขอ พอส่งตามไปให้ คิวอาร์หมดอายุ ซึ่งลูกค้าได้รับการส่งใหม่และคิวอาร์หมดอายุซ้ำ 2 รอบ โดยหน้างานติดลูกค้าไม่สามารถคอยมอนิเตอร์ตลอดเวลาได้จริงๆ ทำให้เกิดการคอมเพลน</v>
      </c>
      <c r="N57" s="19" t="str">
        <f>OfficeForms.Table[[#This Row],[การแก้ไขเบื้องต้น (ถ้ามี)]]</f>
        <v>ขอโทษลูกค้าและให้เขามาจ่ายบิลในนัดครั้งหน้า ไม่สามารถส่งลิ้งค์ชำระยอดได้ เนื่องจากยอดไม่ถึง 1000 บาท</v>
      </c>
      <c r="O57" s="19" t="str">
        <f>OfficeForms.Table[[#This Row],[รหัสพนักงานผู้รายงาน (เพื่อสอบถามข้อมูลเพิ่มเติม)]]</f>
        <v>แพรวา</v>
      </c>
      <c r="P57" s="19" t="str">
        <f>OfficeForms.Table[[#This Row],[ชื่อพนักงานที่อยู่ในเหตุการณ์]]</f>
        <v>แพรวา</v>
      </c>
      <c r="Q57" s="19" t="str">
        <f>OfficeForms.Table[[#This Row],[ต้องคืนเงิน/ Credit note ลูกค้าหรือไม่]]</f>
        <v>ไม่ต้อง</v>
      </c>
      <c r="R57" s="19">
        <f>OfficeForms.Table[[#This Row],[Invoice'#/ Prepayment'#]]</f>
        <v>0</v>
      </c>
      <c r="S57" s="19">
        <f>OfficeForms.Table[[#This Row],[วันที่รับเงิน]]</f>
        <v>0</v>
      </c>
      <c r="T57" s="19">
        <f>OfficeForms.Table[[#This Row],[ชำระโดย]]</f>
        <v>0</v>
      </c>
      <c r="U57" s="19">
        <f>OfficeForms.Table[[#This Row],[ต้อง Adjust หรือ คืนเงินลูกค้าทางช่องทางใด]]</f>
        <v>0</v>
      </c>
      <c r="V57" s="19">
        <f>OfficeForms.Table[[#This Row],[ชื่อรายการที่ต้องคืน และมูลค่า (รวม VAT)]]</f>
        <v>0</v>
      </c>
      <c r="Y57" s="19"/>
    </row>
    <row r="58" spans="1:27" ht="28.5" hidden="1" customHeight="1">
      <c r="A58" s="19">
        <f>OfficeForms.Table[[#This Row],[Id]]</f>
        <v>60</v>
      </c>
      <c r="B58" s="18">
        <f>OfficeForms.Table[[#This Row],[Start time]]</f>
        <v>45900.501030092601</v>
      </c>
      <c r="C58" s="18">
        <f>OfficeForms.Table[[#This Row],[Completion time]]</f>
        <v>45900.505983796298</v>
      </c>
      <c r="D58" s="19" t="str">
        <f>OfficeForms.Table[[#This Row],[Email]]</f>
        <v>anonymous</v>
      </c>
      <c r="E58" s="19">
        <f>OfficeForms.Table[[#This Row],[Name]]</f>
        <v>0</v>
      </c>
      <c r="F58" s="19" t="str">
        <f>OfficeForms.Table[[#This Row],[สาขาที่เข้ารับบริการ]]</f>
        <v>สาขาทองหล่อ</v>
      </c>
      <c r="G58" s="18">
        <f>OfficeForms.Table[[#This Row],[วันที่เกิดเหตุ]]</f>
        <v>45900</v>
      </c>
      <c r="H58" s="19" t="str">
        <f>OfficeForms.Table[[#This Row],[ชื่อสัตว์เลี้ยง หรือ HN สัตว์เลี้ยง]]</f>
        <v>Daisy</v>
      </c>
      <c r="I58" s="19" t="str">
        <f>OfficeForms.Table[[#This Row],[ชื่อผู้ร้องเรียน]]</f>
        <v>คุณธัญย์ฐิตา</v>
      </c>
      <c r="J58" s="19" t="str">
        <f>OfficeForms.Table[[#This Row],[เบอร์โทรศัพท์ผู้ร้องเรียน]]</f>
        <v>0966329924</v>
      </c>
      <c r="K58" s="19" t="str">
        <f>OfficeForms.Table[[#This Row],[หน่วยงานที่ถูกร้องเรียน]]</f>
        <v>VET</v>
      </c>
      <c r="L58" s="19" t="s">
        <v>662</v>
      </c>
      <c r="M58" s="19" t="str">
        <f>OfficeForms.Table[[#This Row],[รายละเอียดข้อร้องเรียน]]</f>
        <v>การสื่อสารไม่ตรงกันระหว่างหมอคนแรกกับคนที่สอง</v>
      </c>
      <c r="N58" s="19" t="str">
        <f>OfficeForms.Table[[#This Row],[การแก้ไขเบื้องต้น (ถ้ามี)]]</f>
        <v>โทรแจ้งPlanการ X-Ray และผ่าตัดวันนี้</v>
      </c>
      <c r="O58" s="19" t="str">
        <f>OfficeForms.Table[[#This Row],[รหัสพนักงานผู้รายงาน (เพื่อสอบถามข้อมูลเพิ่มเติม)]]</f>
        <v>0219</v>
      </c>
      <c r="P58" s="19" t="str">
        <f>OfficeForms.Table[[#This Row],[ชื่อพนักงานที่อยู่ในเหตุการณ์]]</f>
        <v xml:space="preserve">แพรวา </v>
      </c>
      <c r="Q58" s="19" t="str">
        <f>OfficeForms.Table[[#This Row],[ต้องคืนเงิน/ Credit note ลูกค้าหรือไม่]]</f>
        <v>ไม่ต้อง</v>
      </c>
      <c r="R58" s="19">
        <f>OfficeForms.Table[[#This Row],[Invoice'#/ Prepayment'#]]</f>
        <v>0</v>
      </c>
      <c r="S58" s="19">
        <f>OfficeForms.Table[[#This Row],[วันที่รับเงิน]]</f>
        <v>0</v>
      </c>
      <c r="T58" s="19">
        <f>OfficeForms.Table[[#This Row],[ชำระโดย]]</f>
        <v>0</v>
      </c>
      <c r="U58" s="19">
        <f>OfficeForms.Table[[#This Row],[ต้อง Adjust หรือ คืนเงินลูกค้าทางช่องทางใด]]</f>
        <v>0</v>
      </c>
      <c r="V58" s="19">
        <f>OfficeForms.Table[[#This Row],[ชื่อรายการที่ต้องคืน และมูลค่า (รวม VAT)]]</f>
        <v>0</v>
      </c>
      <c r="W58" s="19" t="s">
        <v>662</v>
      </c>
      <c r="X58" s="19" t="s">
        <v>1131</v>
      </c>
      <c r="Y58" s="26">
        <v>45929</v>
      </c>
    </row>
    <row r="59" spans="1:27" ht="28.5" hidden="1" customHeight="1">
      <c r="A59" s="19">
        <f>OfficeForms.Table[[#This Row],[Id]]</f>
        <v>61</v>
      </c>
      <c r="B59" s="18">
        <f>OfficeForms.Table[[#This Row],[Start time]]</f>
        <v>45900.546180555597</v>
      </c>
      <c r="C59" s="18">
        <f>OfficeForms.Table[[#This Row],[Completion time]]</f>
        <v>45900.552916666697</v>
      </c>
      <c r="D59" s="19" t="str">
        <f>OfficeForms.Table[[#This Row],[Email]]</f>
        <v>anonymous</v>
      </c>
      <c r="E59" s="19">
        <f>OfficeForms.Table[[#This Row],[Name]]</f>
        <v>0</v>
      </c>
      <c r="F59" s="19" t="str">
        <f>OfficeForms.Table[[#This Row],[สาขาที่เข้ารับบริการ]]</f>
        <v>สาขาทองหล่อ</v>
      </c>
      <c r="G59" s="18">
        <f>OfficeForms.Table[[#This Row],[วันที่เกิดเหตุ]]</f>
        <v>45895</v>
      </c>
      <c r="H59" s="19" t="str">
        <f>OfficeForms.Table[[#This Row],[ชื่อสัตว์เลี้ยง หรือ HN สัตว์เลี้ยง]]</f>
        <v>10037</v>
      </c>
      <c r="I59" s="19" t="str">
        <f>OfficeForms.Table[[#This Row],[ชื่อผู้ร้องเรียน]]</f>
        <v>7177</v>
      </c>
      <c r="J59" s="19" t="str">
        <f>OfficeForms.Table[[#This Row],[เบอร์โทรศัพท์ผู้ร้องเรียน]]</f>
        <v>.</v>
      </c>
      <c r="K59" s="19" t="str">
        <f>OfficeForms.Table[[#This Row],[หน่วยงานที่ถูกร้องเรียน]]</f>
        <v>.Back Office/Support</v>
      </c>
      <c r="L59" s="19" t="s">
        <v>1126</v>
      </c>
      <c r="M59" s="19" t="str">
        <f>OfficeForms.Table[[#This Row],[รายละเอียดข้อร้องเรียน]]</f>
        <v>ลูกค้าไลน์มาในไลน์กลาง ให้อาบน้ำ แต่ในนัดมีทำอาบน้ำแล้ว แต่เจ้าของส่งกลับมาอีกครั้งว่าจะให้ทำแบบ ฟูเซอร์วิส และแอดมินมีการตอบรับแต่ไม่มีการแก้ไข้นัดจึงทำให้มีการทำกรุมมิ่งแค่ อาบน้ำทำให้ลูกค้าไม่พอใจและจะไม่จ่ายเงิน ทำให้เกิดปัญหาในการเก็บเงิน</v>
      </c>
      <c r="N59" s="19">
        <f>OfficeForms.Table[[#This Row],[การแก้ไขเบื้องต้น (ถ้ามี)]]</f>
        <v>0</v>
      </c>
      <c r="O59" s="19" t="str">
        <f>OfficeForms.Table[[#This Row],[รหัสพนักงานผู้รายงาน (เพื่อสอบถามข้อมูลเพิ่มเติม)]]</f>
        <v>.</v>
      </c>
      <c r="P59" s="19" t="str">
        <f>OfficeForms.Table[[#This Row],[ชื่อพนักงานที่อยู่ในเหตุการณ์]]</f>
        <v>.</v>
      </c>
      <c r="Q59" s="19" t="str">
        <f>OfficeForms.Table[[#This Row],[ต้องคืนเงิน/ Credit note ลูกค้าหรือไม่]]</f>
        <v>ต้อง</v>
      </c>
      <c r="R59" s="19">
        <f>OfficeForms.Table[[#This Row],[Invoice'#/ Prepayment'#]]</f>
        <v>0</v>
      </c>
      <c r="S59" s="19">
        <f>OfficeForms.Table[[#This Row],[วันที่รับเงิน]]</f>
        <v>0</v>
      </c>
      <c r="T59" s="19">
        <f>OfficeForms.Table[[#This Row],[ชำระโดย]]</f>
        <v>0</v>
      </c>
      <c r="U59" s="19">
        <f>OfficeForms.Table[[#This Row],[ต้อง Adjust หรือ คืนเงินลูกค้าทางช่องทางใด]]</f>
        <v>0</v>
      </c>
      <c r="V59" s="19">
        <f>OfficeForms.Table[[#This Row],[ชื่อรายการที่ต้องคืน และมูลค่า (รวม VAT)]]</f>
        <v>0</v>
      </c>
      <c r="W59" s="19" t="s">
        <v>1126</v>
      </c>
      <c r="X59" s="19" t="s">
        <v>1135</v>
      </c>
      <c r="Y59" s="26">
        <v>45947</v>
      </c>
    </row>
    <row r="60" spans="1:27" ht="147" hidden="1" customHeight="1">
      <c r="A60" s="19">
        <f>OfficeForms.Table[[#This Row],[Id]]</f>
        <v>62</v>
      </c>
      <c r="B60" s="18">
        <f>OfficeForms.Table[[#This Row],[Start time]]</f>
        <v>45901.701828703699</v>
      </c>
      <c r="C60" s="18">
        <f>OfficeForms.Table[[#This Row],[Completion time]]</f>
        <v>45901.709143518499</v>
      </c>
      <c r="D60" s="19" t="str">
        <f>OfficeForms.Table[[#This Row],[Email]]</f>
        <v>anonymous</v>
      </c>
      <c r="E60" s="19">
        <f>OfficeForms.Table[[#This Row],[Name]]</f>
        <v>0</v>
      </c>
      <c r="F60" s="19" t="str">
        <f>OfficeForms.Table[[#This Row],[สาขาที่เข้ารับบริการ]]</f>
        <v>สาขาภูเก็ต</v>
      </c>
      <c r="G60" s="18">
        <f>OfficeForms.Table[[#This Row],[วันที่เกิดเหตุ]]</f>
        <v>45900</v>
      </c>
      <c r="H60" s="19" t="str">
        <f>OfficeForms.Table[[#This Row],[ชื่อสัตว์เลี้ยง หรือ HN สัตว์เลี้ยง]]</f>
        <v>Brownie HN.6535</v>
      </c>
      <c r="I60" s="19" t="str">
        <f>OfficeForms.Table[[#This Row],[ชื่อผู้ร้องเรียน]]</f>
        <v>คุณ พริมาภา ทองดี</v>
      </c>
      <c r="J60" s="19" t="str">
        <f>OfficeForms.Table[[#This Row],[เบอร์โทรศัพท์ผู้ร้องเรียน]]</f>
        <v>0636391914</v>
      </c>
      <c r="K60" s="19" t="str">
        <f>OfficeForms.Table[[#This Row],[หน่วยงานที่ถูกร้องเรียน]]</f>
        <v>FRONT</v>
      </c>
      <c r="L60" s="19" t="s">
        <v>781</v>
      </c>
      <c r="M60" s="19" t="str">
        <f>OfficeForms.Table[[#This Row],[รายละเอียดข้อร้องเรียน]]</f>
        <v xml:space="preserve">ลูกค้ามาใช้บริการช่วงเวลา 20.23น. แล้วแจ้งกับทาง พนักงานต้อนรับว่า ป้ายทางเข้าของโรงพยาบาล มืดมาก มองไม่เห็นทางเข้า ลูกค้าขับพ้นทางเข้า 2 รอบ ทำให้เสียเวลากลับรถไปมา อาจจะเพราะป้ายทางเข้าของซอยที่อยู่ก่อนถึงเรา สว่างกว่ามากๆ ทำให้ป้ายของเราไม่เป็นจุดสังเกตุเลย อยากให้แก้ไขเรื่องป้ายหน่อย </v>
      </c>
      <c r="N60" s="19" t="str">
        <f>OfficeForms.Table[[#This Row],[การแก้ไขเบื้องต้น (ถ้ามี)]]</f>
        <v>ตอบรับความคิดเห็นของลูกค้าและขอภัยในความไม่สะดวก จะนำความคิดเห็นไปปรับปรุง</v>
      </c>
      <c r="O60" s="19" t="str">
        <f>OfficeForms.Table[[#This Row],[รหัสพนักงานผู้รายงาน (เพื่อสอบถามข้อมูลเพิ่มเติม)]]</f>
        <v>0159</v>
      </c>
      <c r="P60" s="19" t="str">
        <f>OfficeForms.Table[[#This Row],[ชื่อพนักงานที่อยู่ในเหตุการณ์]]</f>
        <v>นายเด่นพงศ์ สุขมาก</v>
      </c>
      <c r="Q60" s="19" t="str">
        <f>OfficeForms.Table[[#This Row],[ต้องคืนเงิน/ Credit note ลูกค้าหรือไม่]]</f>
        <v>ไม่ต้อง</v>
      </c>
      <c r="R60" s="19">
        <f>OfficeForms.Table[[#This Row],[Invoice'#/ Prepayment'#]]</f>
        <v>0</v>
      </c>
      <c r="S60" s="19">
        <f>OfficeForms.Table[[#This Row],[วันที่รับเงิน]]</f>
        <v>0</v>
      </c>
      <c r="T60" s="19">
        <f>OfficeForms.Table[[#This Row],[ชำระโดย]]</f>
        <v>0</v>
      </c>
      <c r="U60" s="19">
        <f>OfficeForms.Table[[#This Row],[ต้อง Adjust หรือ คืนเงินลูกค้าทางช่องทางใด]]</f>
        <v>0</v>
      </c>
      <c r="V60" s="19">
        <f>OfficeForms.Table[[#This Row],[ชื่อรายการที่ต้องคืน และมูลค่า (รวม VAT)]]</f>
        <v>0</v>
      </c>
      <c r="W60" s="19" t="s">
        <v>781</v>
      </c>
      <c r="X60" s="19" t="s">
        <v>1131</v>
      </c>
      <c r="Y60" s="18" t="s">
        <v>1140</v>
      </c>
    </row>
    <row r="61" spans="1:27" ht="28.5" hidden="1" customHeight="1">
      <c r="A61" s="19">
        <f>OfficeForms.Table[[#This Row],[Id]]</f>
        <v>63</v>
      </c>
      <c r="B61" s="18">
        <f>OfficeForms.Table[[#This Row],[Start time]]</f>
        <v>45904.590740740699</v>
      </c>
      <c r="C61" s="18">
        <f>OfficeForms.Table[[#This Row],[Completion time]]</f>
        <v>45904.595752314803</v>
      </c>
      <c r="D61" s="19" t="str">
        <f>OfficeForms.Table[[#This Row],[Email]]</f>
        <v>anonymous</v>
      </c>
      <c r="E61" s="19">
        <f>OfficeForms.Table[[#This Row],[Name]]</f>
        <v>0</v>
      </c>
      <c r="F61" s="19" t="str">
        <f>OfficeForms.Table[[#This Row],[สาขาที่เข้ารับบริการ]]</f>
        <v>สาขาทองหล่อ</v>
      </c>
      <c r="G61" s="18">
        <f>OfficeForms.Table[[#This Row],[วันที่เกิดเหตุ]]</f>
        <v>45895</v>
      </c>
      <c r="H61" s="19" t="str">
        <f>OfficeForms.Table[[#This Row],[ชื่อสัตว์เลี้ยง หรือ HN สัตว์เลี้ยง]]</f>
        <v>Sergio</v>
      </c>
      <c r="I61" s="19" t="str">
        <f>OfficeForms.Table[[#This Row],[ชื่อผู้ร้องเรียน]]</f>
        <v>.</v>
      </c>
      <c r="J61" s="19" t="str">
        <f>OfficeForms.Table[[#This Row],[เบอร์โทรศัพท์ผู้ร้องเรียน]]</f>
        <v>.</v>
      </c>
      <c r="K61" s="19" t="str">
        <f>OfficeForms.Table[[#This Row],[หน่วยงานที่ถูกร้องเรียน]]</f>
        <v>.Back Office/Support</v>
      </c>
      <c r="M61" s="19" t="str">
        <f>OfficeForms.Table[[#This Row],[รายละเอียดข้อร้องเรียน]]</f>
        <v>ลูกค้าเเจ้งว่าให้ทำอาบน้ำตัดขนแบบครบเซ็ต แต่ทางเจ้าหน้าที่ไม่ได้แก้ไขหัวข้อจึ้งทำให้เกิดการอ่บน้ำอย่างเดียว และทำให้ลูกค้าไม่พอใจ จะขอไม่ให้คิดเงินลูกค้าในบิลนั่น</v>
      </c>
      <c r="N61" s="19" t="str">
        <f>OfficeForms.Table[[#This Row],[การแก้ไขเบื้องต้น (ถ้ามี)]]</f>
        <v>ควรให้แอดมินคุยกับลูกค้าให้ชัดเจนในความต้องการ</v>
      </c>
      <c r="O61" s="19" t="str">
        <f>OfficeForms.Table[[#This Row],[รหัสพนักงานผู้รายงาน (เพื่อสอบถามข้อมูลเพิ่มเติม)]]</f>
        <v>..</v>
      </c>
      <c r="P61" s="19" t="str">
        <f>OfficeForms.Table[[#This Row],[ชื่อพนักงานที่อยู่ในเหตุการณ์]]</f>
        <v>จ๋าฟร้อน ตองแอดมิน</v>
      </c>
      <c r="Q61" s="19" t="str">
        <f>OfficeForms.Table[[#This Row],[ต้องคืนเงิน/ Credit note ลูกค้าหรือไม่]]</f>
        <v>ต้อง</v>
      </c>
      <c r="R61" s="19">
        <f>OfficeForms.Table[[#This Row],[Invoice'#/ Prepayment'#]]</f>
        <v>21250017440</v>
      </c>
      <c r="S61" s="19">
        <f>OfficeForms.Table[[#This Row],[วันที่รับเงิน]]</f>
        <v>45895</v>
      </c>
      <c r="T61" s="19" t="str">
        <f>OfficeForms.Table[[#This Row],[ชำระโดย]]</f>
        <v>Credit card</v>
      </c>
      <c r="U61" s="19" t="str">
        <f>OfficeForms.Table[[#This Row],[ต้อง Adjust หรือ คืนเงินลูกค้าทางช่องทางใด]]</f>
        <v>ยกเลิก Invoices</v>
      </c>
      <c r="V61" s="19">
        <f>OfficeForms.Table[[#This Row],[ชื่อรายการที่ต้องคืน และมูลค่า (รวม VAT)]]</f>
        <v>0</v>
      </c>
      <c r="Y61" s="19"/>
    </row>
    <row r="62" spans="1:27" ht="28.5" hidden="1" customHeight="1">
      <c r="A62" s="19">
        <f>OfficeForms.Table[[#This Row],[Id]]</f>
        <v>64</v>
      </c>
      <c r="B62" s="18">
        <f>OfficeForms.Table[[#This Row],[Start time]]</f>
        <v>45904.594212962998</v>
      </c>
      <c r="C62" s="18">
        <f>OfficeForms.Table[[#This Row],[Completion time]]</f>
        <v>45904.597557870402</v>
      </c>
      <c r="D62" s="19" t="str">
        <f>OfficeForms.Table[[#This Row],[Email]]</f>
        <v>anonymous</v>
      </c>
      <c r="E62" s="19">
        <f>OfficeForms.Table[[#This Row],[Name]]</f>
        <v>0</v>
      </c>
      <c r="F62" s="19" t="str">
        <f>OfficeForms.Table[[#This Row],[สาขาที่เข้ารับบริการ]]</f>
        <v>สาขาทองหล่อ</v>
      </c>
      <c r="G62" s="18">
        <f>OfficeForms.Table[[#This Row],[วันที่เกิดเหตุ]]</f>
        <v>45897</v>
      </c>
      <c r="H62" s="19" t="str">
        <f>OfficeForms.Table[[#This Row],[ชื่อสัตว์เลี้ยง หรือ HN สัตว์เลี้ยง]]</f>
        <v>คิโกะ 14627</v>
      </c>
      <c r="I62" s="19" t="str">
        <f>OfficeForms.Table[[#This Row],[ชื่อผู้ร้องเรียน]]</f>
        <v xml:space="preserve"> กฤติกา บริบาลบุรีภัณฑ์</v>
      </c>
      <c r="J62" s="19" t="str">
        <f>OfficeForms.Table[[#This Row],[เบอร์โทรศัพท์ผู้ร้องเรียน]]</f>
        <v xml:space="preserve">0876817711 </v>
      </c>
      <c r="K62" s="19" t="str">
        <f>OfficeForms.Table[[#This Row],[หน่วยงานที่ถูกร้องเรียน]]</f>
        <v>VET</v>
      </c>
      <c r="L62" s="19" t="s">
        <v>781</v>
      </c>
      <c r="M62" s="19" t="str">
        <f>OfficeForms.Table[[#This Row],[รายละเอียดข้อร้องเรียน]]</f>
        <v>น้องมาผ่าตัดมะเร็งวันที่ 27/ค แล้วเสียชีวิต เจ้าของรู้สึกว่าเราดูแลหลังผ่าตัดไม่ดี ทำให้น้องถึงแกชีวิต</v>
      </c>
      <c r="N62" s="19" t="str">
        <f>OfficeForms.Table[[#This Row],[การแก้ไขเบื้องต้น (ถ้ามี)]]</f>
        <v>คุยกับเจ้าของชี้แจงรายละเอียดเรื่องที่เกิดขึ้น ซึ่งเราทำตาม clinical guideline แต่เจ้าของเหมือนอยากได้เงินค่าเยียวยา</v>
      </c>
      <c r="O62" s="19" t="str">
        <f>OfficeForms.Table[[#This Row],[รหัสพนักงานผู้รายงาน (เพื่อสอบถามข้อมูลเพิ่มเติม)]]</f>
        <v>0305</v>
      </c>
      <c r="P62" s="19" t="str">
        <f>OfficeForms.Table[[#This Row],[ชื่อพนักงานที่อยู่ในเหตุการณ์]]</f>
        <v>เปรมพร</v>
      </c>
      <c r="Q62" s="19" t="str">
        <f>OfficeForms.Table[[#This Row],[ต้องคืนเงิน/ Credit note ลูกค้าหรือไม่]]</f>
        <v>ต้อง</v>
      </c>
      <c r="R62" s="19">
        <f>OfficeForms.Table[[#This Row],[Invoice'#/ Prepayment'#]]</f>
        <v>21250017315</v>
      </c>
      <c r="S62" s="19">
        <f>OfficeForms.Table[[#This Row],[วันที่รับเงิน]]</f>
        <v>0</v>
      </c>
      <c r="T62" s="19">
        <f>OfficeForms.Table[[#This Row],[ชำระโดย]]</f>
        <v>0</v>
      </c>
      <c r="U62" s="19">
        <f>OfficeForms.Table[[#This Row],[ต้อง Adjust หรือ คืนเงินลูกค้าทางช่องทางใด]]</f>
        <v>0</v>
      </c>
      <c r="V62" s="19">
        <f>OfficeForms.Table[[#This Row],[ชื่อรายการที่ต้องคืน และมูลค่า (รวม VAT)]]</f>
        <v>0</v>
      </c>
      <c r="W62" s="19" t="s">
        <v>781</v>
      </c>
      <c r="X62" s="19" t="s">
        <v>1133</v>
      </c>
      <c r="Y62" s="26">
        <v>45929</v>
      </c>
    </row>
    <row r="63" spans="1:27" ht="28.5" hidden="1" customHeight="1">
      <c r="A63" s="19">
        <f>OfficeForms.Table[[#This Row],[Id]]</f>
        <v>65</v>
      </c>
      <c r="B63" s="18">
        <f>OfficeForms.Table[[#This Row],[Start time]]</f>
        <v>45905.571192129602</v>
      </c>
      <c r="C63" s="18">
        <f>OfficeForms.Table[[#This Row],[Completion time]]</f>
        <v>45905.573738425897</v>
      </c>
      <c r="D63" s="19" t="str">
        <f>OfficeForms.Table[[#This Row],[Email]]</f>
        <v>anonymous</v>
      </c>
      <c r="E63" s="19">
        <f>OfficeForms.Table[[#This Row],[Name]]</f>
        <v>0</v>
      </c>
      <c r="F63" s="19" t="str">
        <f>OfficeForms.Table[[#This Row],[สาขาที่เข้ารับบริการ]]</f>
        <v>สาขาหลังสวน</v>
      </c>
      <c r="G63" s="18">
        <f>OfficeForms.Table[[#This Row],[วันที่เกิดเหตุ]]</f>
        <v>45904</v>
      </c>
      <c r="H63" s="19" t="str">
        <f>OfficeForms.Table[[#This Row],[ชื่อสัตว์เลี้ยง หรือ HN สัตว์เลี้ยง]]</f>
        <v>Keshi11853</v>
      </c>
      <c r="I63" s="19" t="str">
        <f>OfficeForms.Table[[#This Row],[ชื่อผู้ร้องเรียน]]</f>
        <v>คุณพรพรรณ</v>
      </c>
      <c r="J63" s="19" t="str">
        <f>OfficeForms.Table[[#This Row],[เบอร์โทรศัพท์ผู้ร้องเรียน]]</f>
        <v>0892045516</v>
      </c>
      <c r="K63" s="19" t="str">
        <f>OfficeForms.Table[[#This Row],[หน่วยงานที่ถูกร้องเรียน]]</f>
        <v>FRONT</v>
      </c>
      <c r="L63" s="19" t="s">
        <v>580</v>
      </c>
      <c r="M63" s="22" t="str">
        <f>OfficeForms.Table[[#This Row],[รายละเอียดข้อร้องเรียน]]</f>
        <v>ทำสุนัขหลุดจากสายรัดอก วิ่งออกถนนใหญ่</v>
      </c>
      <c r="N63" s="19" t="str">
        <f>OfficeForms.Table[[#This Row],[การแก้ไขเบื้องต้น (ถ้ามี)]]</f>
        <v>จับน้องหมากลับมาได้อย่างปลอดภัย ขอโทษลูกค้า เรียกผู้เกี่ยวข้องมาตักเตือน วางมาตรการความปลอดภัย เสนอแนวทางกั้นรั้วบริเวณที่ขับถ่าย</v>
      </c>
      <c r="O63" s="19" t="str">
        <f>OfficeForms.Table[[#This Row],[รหัสพนักงานผู้รายงาน (เพื่อสอบถามข้อมูลเพิ่มเติม)]]</f>
        <v>0226</v>
      </c>
      <c r="P63" s="19" t="str">
        <f>OfficeForms.Table[[#This Row],[ชื่อพนักงานที่อยู่ในเหตุการณ์]]</f>
        <v>ตะวัน ไผ่ตระการ</v>
      </c>
      <c r="Q63" s="19" t="str">
        <f>OfficeForms.Table[[#This Row],[ต้องคืนเงิน/ Credit note ลูกค้าหรือไม่]]</f>
        <v>ไม่ต้อง</v>
      </c>
      <c r="R63" s="19">
        <f>OfficeForms.Table[[#This Row],[Invoice'#/ Prepayment'#]]</f>
        <v>0</v>
      </c>
      <c r="S63" s="19">
        <f>OfficeForms.Table[[#This Row],[วันที่รับเงิน]]</f>
        <v>0</v>
      </c>
      <c r="T63" s="19">
        <f>OfficeForms.Table[[#This Row],[ชำระโดย]]</f>
        <v>0</v>
      </c>
      <c r="U63" s="19">
        <f>OfficeForms.Table[[#This Row],[ต้อง Adjust หรือ คืนเงินลูกค้าทางช่องทางใด]]</f>
        <v>0</v>
      </c>
      <c r="V63" s="19">
        <f>OfficeForms.Table[[#This Row],[ชื่อรายการที่ต้องคืน และมูลค่า (รวม VAT)]]</f>
        <v>0</v>
      </c>
      <c r="W63" s="19" t="s">
        <v>580</v>
      </c>
      <c r="X63" s="19" t="s">
        <v>1135</v>
      </c>
      <c r="Y63" s="26">
        <v>45911</v>
      </c>
    </row>
    <row r="64" spans="1:27" ht="28.5" hidden="1" customHeight="1">
      <c r="A64" s="19">
        <f>OfficeForms.Table[[#This Row],[Id]]</f>
        <v>66</v>
      </c>
      <c r="B64" s="18">
        <f>OfficeForms.Table[[#This Row],[Start time]]</f>
        <v>45906.742476851898</v>
      </c>
      <c r="C64" s="18">
        <f>OfficeForms.Table[[#This Row],[Completion time]]</f>
        <v>45906.747314814798</v>
      </c>
      <c r="D64" s="19" t="str">
        <f>OfficeForms.Table[[#This Row],[Email]]</f>
        <v>anonymous</v>
      </c>
      <c r="E64" s="19">
        <f>OfficeForms.Table[[#This Row],[Name]]</f>
        <v>0</v>
      </c>
      <c r="F64" s="19" t="str">
        <f>OfficeForms.Table[[#This Row],[สาขาที่เข้ารับบริการ]]</f>
        <v>สาขาทองหล่อ</v>
      </c>
      <c r="G64" s="18">
        <f>OfficeForms.Table[[#This Row],[วันที่เกิดเหตุ]]</f>
        <v>45906</v>
      </c>
      <c r="H64" s="19" t="str">
        <f>OfficeForms.Table[[#This Row],[ชื่อสัตว์เลี้ยง หรือ HN สัตว์เลี้ยง]]</f>
        <v>Mochi (15715)</v>
      </c>
      <c r="I64" s="19" t="str">
        <f>OfficeForms.Table[[#This Row],[ชื่อผู้ร้องเรียน]]</f>
        <v xml:space="preserve">จุฑามาศ ขันมณี </v>
      </c>
      <c r="J64" s="19" t="str">
        <f>OfficeForms.Table[[#This Row],[เบอร์โทรศัพท์ผู้ร้องเรียน]]</f>
        <v>+66 89 393 5629</v>
      </c>
      <c r="K64" s="19" t="str">
        <f>OfficeForms.Table[[#This Row],[หน่วยงานที่ถูกร้องเรียน]]</f>
        <v>FRONT</v>
      </c>
      <c r="M64" s="19" t="str">
        <f>OfficeForms.Table[[#This Row],[รายละเอียดข้อร้องเรียน]]</f>
        <v>รอตรวจนานประมาณ 1 ชั่วโมง โดยไม่ทราบเหตุผล</v>
      </c>
      <c r="N64" s="19" t="str">
        <f>OfficeForms.Table[[#This Row],[การแก้ไขเบื้องต้น (ถ้ามี)]]</f>
        <v>-</v>
      </c>
      <c r="O64" s="19" t="str">
        <f>OfficeForms.Table[[#This Row],[รหัสพนักงานผู้รายงาน (เพื่อสอบถามข้อมูลเพิ่มเติม)]]</f>
        <v>1026 --อยากเห็นการแก้ไข และแนวทางการป้องกันที่ชัดเจนครับ เกิดเหตุการณ์ซ้ำหลายครั้งมากเกินไปแล้วครับ</v>
      </c>
      <c r="P64" s="19" t="str">
        <f>OfficeForms.Table[[#This Row],[ชื่อพนักงานที่อยู่ในเหตุการณ์]]</f>
        <v>ARM</v>
      </c>
      <c r="Q64" s="19" t="str">
        <f>OfficeForms.Table[[#This Row],[ต้องคืนเงิน/ Credit note ลูกค้าหรือไม่]]</f>
        <v>ไม่ต้อง</v>
      </c>
      <c r="R64" s="19">
        <f>OfficeForms.Table[[#This Row],[Invoice'#/ Prepayment'#]]</f>
        <v>0</v>
      </c>
      <c r="S64" s="19">
        <f>OfficeForms.Table[[#This Row],[วันที่รับเงิน]]</f>
        <v>0</v>
      </c>
      <c r="T64" s="19">
        <f>OfficeForms.Table[[#This Row],[ชำระโดย]]</f>
        <v>0</v>
      </c>
      <c r="U64" s="19">
        <f>OfficeForms.Table[[#This Row],[ต้อง Adjust หรือ คืนเงินลูกค้าทางช่องทางใด]]</f>
        <v>0</v>
      </c>
      <c r="V64" s="19">
        <f>OfficeForms.Table[[#This Row],[ชื่อรายการที่ต้องคืน และมูลค่า (รวม VAT)]]</f>
        <v>0</v>
      </c>
      <c r="Y64" s="19"/>
    </row>
    <row r="65" spans="1:27" ht="28.5" hidden="1" customHeight="1">
      <c r="A65" s="19">
        <f>OfficeForms.Table[[#This Row],[Id]]</f>
        <v>67</v>
      </c>
      <c r="B65" s="18">
        <f>OfficeForms.Table[[#This Row],[Start time]]</f>
        <v>45907.719733796301</v>
      </c>
      <c r="C65" s="18">
        <f>OfficeForms.Table[[#This Row],[Completion time]]</f>
        <v>45907.721064814803</v>
      </c>
      <c r="D65" s="19" t="str">
        <f>OfficeForms.Table[[#This Row],[Email]]</f>
        <v>anonymous</v>
      </c>
      <c r="E65" s="19">
        <f>OfficeForms.Table[[#This Row],[Name]]</f>
        <v>0</v>
      </c>
      <c r="F65" s="19" t="str">
        <f>OfficeForms.Table[[#This Row],[สาขาที่เข้ารับบริการ]]</f>
        <v>สาขาทองหล่อ</v>
      </c>
      <c r="G65" s="18">
        <f>OfficeForms.Table[[#This Row],[วันที่เกิดเหตุ]]</f>
        <v>45905</v>
      </c>
      <c r="H65" s="19" t="str">
        <f>OfficeForms.Table[[#This Row],[ชื่อสัตว์เลี้ยง หรือ HN สัตว์เลี้ยง]]</f>
        <v>Micheal (15150)</v>
      </c>
      <c r="I65" s="19" t="str">
        <f>OfficeForms.Table[[#This Row],[ชื่อผู้ร้องเรียน]]</f>
        <v>K.Zayar</v>
      </c>
      <c r="J65" s="19" t="str">
        <f>OfficeForms.Table[[#This Row],[เบอร์โทรศัพท์ผู้ร้องเรียน]]</f>
        <v>0936366119</v>
      </c>
      <c r="K65" s="19" t="str">
        <f>OfficeForms.Table[[#This Row],[หน่วยงานที่ถูกร้องเรียน]]</f>
        <v>VET</v>
      </c>
      <c r="L65" s="19" t="s">
        <v>576</v>
      </c>
      <c r="M65" s="19" t="str">
        <f>OfficeForms.Table[[#This Row],[รายละเอียดข้อร้องเรียน]]</f>
        <v>การจ่ายยาผิด</v>
      </c>
      <c r="N65" s="19">
        <f>OfficeForms.Table[[#This Row],[การแก้ไขเบื้องต้น (ถ้ามี)]]</f>
        <v>0</v>
      </c>
      <c r="O65" s="19" t="str">
        <f>OfficeForms.Table[[#This Row],[รหัสพนักงานผู้รายงาน (เพื่อสอบถามข้อมูลเพิ่มเติม)]]</f>
        <v>0039</v>
      </c>
      <c r="P65" s="19" t="str">
        <f>OfficeForms.Table[[#This Row],[ชื่อพนักงานที่อยู่ในเหตุการณ์]]</f>
        <v>ice,pad,noey(phar)</v>
      </c>
      <c r="Q65" s="19" t="str">
        <f>OfficeForms.Table[[#This Row],[ต้องคืนเงิน/ Credit note ลูกค้าหรือไม่]]</f>
        <v>ต้อง</v>
      </c>
      <c r="R65" s="19">
        <f>OfficeForms.Table[[#This Row],[Invoice'#/ Prepayment'#]]</f>
        <v>0</v>
      </c>
      <c r="S65" s="19">
        <f>OfficeForms.Table[[#This Row],[วันที่รับเงิน]]</f>
        <v>0</v>
      </c>
      <c r="T65" s="19">
        <f>OfficeForms.Table[[#This Row],[ชำระโดย]]</f>
        <v>0</v>
      </c>
      <c r="U65" s="19">
        <f>OfficeForms.Table[[#This Row],[ต้อง Adjust หรือ คืนเงินลูกค้าทางช่องทางใด]]</f>
        <v>0</v>
      </c>
      <c r="V65" s="19">
        <f>OfficeForms.Table[[#This Row],[ชื่อรายการที่ต้องคืน และมูลค่า (รวม VAT)]]</f>
        <v>0</v>
      </c>
      <c r="W65" s="19" t="s">
        <v>576</v>
      </c>
      <c r="X65" s="19" t="s">
        <v>1131</v>
      </c>
      <c r="Y65" s="26">
        <v>45908</v>
      </c>
    </row>
    <row r="66" spans="1:27" ht="28.5" hidden="1" customHeight="1">
      <c r="A66" s="19">
        <f>OfficeForms.Table[[#This Row],[Id]]</f>
        <v>68</v>
      </c>
      <c r="B66" s="18">
        <f>OfficeForms.Table[[#This Row],[Start time]]</f>
        <v>45908.449097222197</v>
      </c>
      <c r="C66" s="18">
        <f>OfficeForms.Table[[#This Row],[Completion time]]</f>
        <v>45908.452696759297</v>
      </c>
      <c r="D66" s="19" t="str">
        <f>OfficeForms.Table[[#This Row],[Email]]</f>
        <v>anonymous</v>
      </c>
      <c r="E66" s="19">
        <f>OfficeForms.Table[[#This Row],[Name]]</f>
        <v>0</v>
      </c>
      <c r="F66" s="19" t="str">
        <f>OfficeForms.Table[[#This Row],[สาขาที่เข้ารับบริการ]]</f>
        <v>สาขาทองหล่อ</v>
      </c>
      <c r="G66" s="18">
        <f>OfficeForms.Table[[#This Row],[วันที่เกิดเหตุ]]</f>
        <v>45897</v>
      </c>
      <c r="H66" s="19" t="str">
        <f>OfficeForms.Table[[#This Row],[ชื่อสัตว์เลี้ยง หรือ HN สัตว์เลี้ยง]]</f>
        <v>มีตังค์ (8605)</v>
      </c>
      <c r="I66" s="19" t="str">
        <f>OfficeForms.Table[[#This Row],[ชื่อผู้ร้องเรียน]]</f>
        <v>คุณธนวัฒน์ มานะวงศ์สกุล</v>
      </c>
      <c r="J66" s="19" t="str">
        <f>OfficeForms.Table[[#This Row],[เบอร์โทรศัพท์ผู้ร้องเรียน]]</f>
        <v>0909879466</v>
      </c>
      <c r="K66" s="19" t="str">
        <f>OfficeForms.Table[[#This Row],[หน่วยงานที่ถูกร้องเรียน]]</f>
        <v>VET</v>
      </c>
      <c r="L66" s="19" t="s">
        <v>842</v>
      </c>
      <c r="M66" s="19" t="str">
        <f>OfficeForms.Table[[#This Row],[รายละเอียดข้อร้องเรียน]]</f>
        <v>จ่ายยาผิดขนาดจาก pimo 5 mg เป็น 1.25 mg</v>
      </c>
      <c r="N66" s="19" t="s">
        <v>1141</v>
      </c>
      <c r="O66" s="19" t="str">
        <f>OfficeForms.Table[[#This Row],[รหัสพนักงานผู้รายงาน (เพื่อสอบถามข้อมูลเพิ่มเติม)]]</f>
        <v>0039</v>
      </c>
      <c r="P66" s="19" t="str">
        <f>OfficeForms.Table[[#This Row],[ชื่อพนักงานที่อยู่ในเหตุการณ์]]</f>
        <v>0039</v>
      </c>
      <c r="Q66" s="19" t="str">
        <f>OfficeForms.Table[[#This Row],[ต้องคืนเงิน/ Credit note ลูกค้าหรือไม่]]</f>
        <v>ต้อง</v>
      </c>
      <c r="R66" s="19" t="str">
        <f>OfficeForms.Table[[#This Row],[Invoice'#/ Prepayment'#]]</f>
        <v>INV21250016904</v>
      </c>
      <c r="S66" s="19">
        <f>OfficeForms.Table[[#This Row],[วันที่รับเงิน]]</f>
        <v>45897</v>
      </c>
      <c r="T66" s="19" t="str">
        <f>OfficeForms.Table[[#This Row],[ชำระโดย]]</f>
        <v>Credit card</v>
      </c>
      <c r="U66" s="19" t="str">
        <f>OfficeForms.Table[[#This Row],[ต้อง Adjust หรือ คืนเงินลูกค้าทางช่องทางใด]]</f>
        <v>Credit note</v>
      </c>
      <c r="V66" s="19" t="str">
        <f>OfficeForms.Table[[#This Row],[ชื่อรายการที่ต้องคืน และมูลค่า (รวม VAT)]]</f>
        <v xml:space="preserve">Pimobendan 5 mg 16 tablet , </v>
      </c>
      <c r="W66" s="19" t="s">
        <v>842</v>
      </c>
      <c r="X66" s="19" t="s">
        <v>1135</v>
      </c>
      <c r="Y66" s="26">
        <v>45906</v>
      </c>
    </row>
    <row r="67" spans="1:27" ht="126" hidden="1" customHeight="1">
      <c r="A67" s="19">
        <f>OfficeForms.Table[[#This Row],[Id]]</f>
        <v>69</v>
      </c>
      <c r="B67" s="18">
        <f>OfficeForms.Table[[#This Row],[Start time]]</f>
        <v>45908.632974537002</v>
      </c>
      <c r="C67" s="18">
        <f>OfficeForms.Table[[#This Row],[Completion time]]</f>
        <v>45908.6387384259</v>
      </c>
      <c r="D67" s="19" t="str">
        <f>OfficeForms.Table[[#This Row],[Email]]</f>
        <v>anonymous</v>
      </c>
      <c r="E67" s="19">
        <f>OfficeForms.Table[[#This Row],[Name]]</f>
        <v>0</v>
      </c>
      <c r="F67" s="19" t="str">
        <f>OfficeForms.Table[[#This Row],[สาขาที่เข้ารับบริการ]]</f>
        <v>สาขาทองหล่อ</v>
      </c>
      <c r="G67" s="18">
        <f>OfficeForms.Table[[#This Row],[วันที่เกิดเหตุ]]</f>
        <v>45904</v>
      </c>
      <c r="H67" s="19" t="str">
        <f>OfficeForms.Table[[#This Row],[ชื่อสัตว์เลี้ยง หรือ HN สัตว์เลี้ยง]]</f>
        <v>Michael (15150)</v>
      </c>
      <c r="I67" s="19" t="str">
        <f>OfficeForms.Table[[#This Row],[ชื่อผู้ร้องเรียน]]</f>
        <v>Zayar (Laeo) Lynn (10771)</v>
      </c>
      <c r="J67" s="19" t="str">
        <f>OfficeForms.Table[[#This Row],[เบอร์โทรศัพท์ผู้ร้องเรียน]]</f>
        <v>0936366119</v>
      </c>
      <c r="K67" s="19" t="str">
        <f>OfficeForms.Table[[#This Row],[หน่วยงานที่ถูกร้องเรียน]]</f>
        <v>VET</v>
      </c>
      <c r="L67" s="19" t="s">
        <v>842</v>
      </c>
      <c r="M67" s="19" t="str">
        <f>OfficeForms.Table[[#This Row],[รายละเอียดข้อร้องเรียน]]</f>
        <v>ในวันที่ 4/9/2025 ลูกค้าเข้ามารับบริการกับหมอชัญภรและได้มีการจ่ายยา หลังจากลูกค้าได้รับยาไปแล้วทางหมอมาตรวจสอบภายหลังพบว่ายา pravix แบ่งผิดส่วน จาก 1/4 เป็น 1/2 เลยให้ทางห้องยาโทรแจ้งลูกค้าขอยาคืนเพื่อนำมาแบ่งให้ถูก แต่ไม่ได้แจ้งลุกค้าโดยตรงว่าแบ่งยาผิดตั้งแต่แรก ทำให้ลูกค้าเกิดความไม่พอใจและเกิดการ cc เกิดขึ้นหลังจากนั้นได้มีการคืนเงินทั้งหมดใน inv21250017622 และไม่ต้องคืนยา จากนั้นนัดลูกค้าเข้ามาคุยกับหมอชัญภรในวันอาทิตย์ที่ 7/9/2025 มีการจ่ายยาชุดใหม่ไป โดยไม่ต้องชำระเงิน</v>
      </c>
      <c r="N67" s="19" t="str">
        <f>OfficeForms.Table[[#This Row],[การแก้ไขเบื้องต้น (ถ้ามี)]]</f>
        <v>ตรวจสอบก่อนส่งจัดยา</v>
      </c>
      <c r="O67" s="19" t="str">
        <f>OfficeForms.Table[[#This Row],[รหัสพนักงานผู้รายงาน (เพื่อสอบถามข้อมูลเพิ่มเติม)]]</f>
        <v>0039</v>
      </c>
      <c r="P67" s="19" t="str">
        <f>OfficeForms.Table[[#This Row],[ชื่อพนักงานที่อยู่ในเหตุการณ์]]</f>
        <v>0039</v>
      </c>
      <c r="Q67" s="19" t="str">
        <f>OfficeForms.Table[[#This Row],[ต้องคืนเงิน/ Credit note ลูกค้าหรือไม่]]</f>
        <v>ต้อง</v>
      </c>
      <c r="R67" s="19" t="str">
        <f>OfficeForms.Table[[#This Row],[Invoice'#/ Prepayment'#]]</f>
        <v>21250017622</v>
      </c>
      <c r="S67" s="19">
        <f>OfficeForms.Table[[#This Row],[วันที่รับเงิน]]</f>
        <v>45904</v>
      </c>
      <c r="T67" s="19" t="str">
        <f>OfficeForms.Table[[#This Row],[ชำระโดย]]</f>
        <v>QR code</v>
      </c>
      <c r="U67" s="19" t="str">
        <f>OfficeForms.Table[[#This Row],[ต้อง Adjust หรือ คืนเงินลูกค้าทางช่องทางใด]]</f>
        <v>คืนเงินลูกค้า (โอนคืน)</v>
      </c>
      <c r="V67" s="19" t="str">
        <f>OfficeForms.Table[[#This Row],[ชื่อรายการที่ต้องคืน และมูลค่า (รวม VAT)]]</f>
        <v xml:space="preserve">ทั้งบิล INV21250017622 (12,595) </v>
      </c>
      <c r="W67" s="19" t="s">
        <v>842</v>
      </c>
      <c r="X67" s="19" t="s">
        <v>1131</v>
      </c>
      <c r="Y67" s="26">
        <v>45897</v>
      </c>
    </row>
    <row r="68" spans="1:27" ht="33" hidden="1" customHeight="1">
      <c r="A68" s="19">
        <f>OfficeForms.Table[[#This Row],[Id]]</f>
        <v>70</v>
      </c>
      <c r="B68" s="18">
        <f>OfficeForms.Table[[#This Row],[Start time]]</f>
        <v>45909.457835648202</v>
      </c>
      <c r="C68" s="18">
        <f>OfficeForms.Table[[#This Row],[Completion time]]</f>
        <v>45909.461562500001</v>
      </c>
      <c r="D68" s="19" t="str">
        <f>OfficeForms.Table[[#This Row],[Email]]</f>
        <v>anonymous</v>
      </c>
      <c r="E68" s="19">
        <f>OfficeForms.Table[[#This Row],[Name]]</f>
        <v>0</v>
      </c>
      <c r="F68" s="19" t="str">
        <f>OfficeForms.Table[[#This Row],[สาขาที่เข้ารับบริการ]]</f>
        <v>สาขาทองหล่อ</v>
      </c>
      <c r="G68" s="18">
        <f>OfficeForms.Table[[#This Row],[วันที่เกิดเหตุ]]</f>
        <v>45909</v>
      </c>
      <c r="H68" s="19" t="str">
        <f>OfficeForms.Table[[#This Row],[ชื่อสัตว์เลี้ยง หรือ HN สัตว์เลี้ยง]]</f>
        <v>น้ำตาล 4826</v>
      </c>
      <c r="I68" s="19" t="str">
        <f>OfficeForms.Table[[#This Row],[ชื่อผู้ร้องเรียน]]</f>
        <v>ปณิตา</v>
      </c>
      <c r="J68" s="19" t="str">
        <f>OfficeForms.Table[[#This Row],[เบอร์โทรศัพท์ผู้ร้องเรียน]]</f>
        <v>0898923535</v>
      </c>
      <c r="K68" s="19" t="str">
        <f>OfficeForms.Table[[#This Row],[หน่วยงานที่ถูกร้องเรียน]]</f>
        <v>CASHIER</v>
      </c>
      <c r="L68" s="19" t="s">
        <v>842</v>
      </c>
      <c r="M68" s="19" t="str">
        <f>OfficeForms.Table[[#This Row],[รายละเอียดข้อร้องเรียน]]</f>
        <v xml:space="preserve">มีการโอนเงินซ้ำ ลูกค้าชำระเงินผ่าน Payment gatway ซ้ำ </v>
      </c>
      <c r="N68" s="19" t="s">
        <v>421</v>
      </c>
      <c r="O68" s="19" t="str">
        <f>OfficeForms.Table[[#This Row],[รหัสพนักงานผู้รายงาน (เพื่อสอบถามข้อมูลเพิ่มเติม)]]</f>
        <v>1</v>
      </c>
      <c r="P68" s="19" t="str">
        <f>OfficeForms.Table[[#This Row],[ชื่อพนักงานที่อยู่ในเหตุการณ์]]</f>
        <v>บอส</v>
      </c>
      <c r="Q68" s="19" t="str">
        <f>OfficeForms.Table[[#This Row],[ต้องคืนเงิน/ Credit note ลูกค้าหรือไม่]]</f>
        <v>ต้อง</v>
      </c>
      <c r="R68" s="19">
        <f>OfficeForms.Table[[#This Row],[Invoice'#/ Prepayment'#]]</f>
        <v>2.12500155732125E+21</v>
      </c>
      <c r="S68" s="19">
        <f>OfficeForms.Table[[#This Row],[วันที่รับเงิน]]</f>
        <v>45881</v>
      </c>
      <c r="T68" s="19">
        <f>OfficeForms.Table[[#This Row],[ชำระโดย]]</f>
        <v>0</v>
      </c>
      <c r="U68" s="19" t="str">
        <f>OfficeForms.Table[[#This Row],[ต้อง Adjust หรือ คืนเงินลูกค้าทางช่องทางใด]]</f>
        <v>คืนเงินลูกค้า (เข้า Prepayment)</v>
      </c>
      <c r="V68" s="19">
        <f>OfficeForms.Table[[#This Row],[ชื่อรายการที่ต้องคืน และมูลค่า (รวม VAT)]]</f>
        <v>0</v>
      </c>
      <c r="W68" s="19" t="s">
        <v>842</v>
      </c>
      <c r="Y68" s="19"/>
      <c r="AA68" s="19" t="s">
        <v>1137</v>
      </c>
    </row>
    <row r="69" spans="1:27" ht="63.75" hidden="1" customHeight="1">
      <c r="A69" s="19">
        <f>OfficeForms.Table[[#This Row],[Id]]</f>
        <v>71</v>
      </c>
      <c r="B69" s="18">
        <f>OfficeForms.Table[[#This Row],[Start time]]</f>
        <v>45917.381168981497</v>
      </c>
      <c r="C69" s="18">
        <f>OfficeForms.Table[[#This Row],[Completion time]]</f>
        <v>45917.383796296301</v>
      </c>
      <c r="D69" s="19" t="str">
        <f>OfficeForms.Table[[#This Row],[Email]]</f>
        <v>anonymous</v>
      </c>
      <c r="E69" s="19">
        <f>OfficeForms.Table[[#This Row],[Name]]</f>
        <v>0</v>
      </c>
      <c r="F69" s="19" t="str">
        <f>OfficeForms.Table[[#This Row],[สาขาที่เข้ารับบริการ]]</f>
        <v>สาขาทองหล่อ</v>
      </c>
      <c r="G69" s="18">
        <f>OfficeForms.Table[[#This Row],[วันที่เกิดเหตุ]]</f>
        <v>45912</v>
      </c>
      <c r="H69" s="19" t="str">
        <f>OfficeForms.Table[[#This Row],[ชื่อสัตว์เลี้ยง หรือ HN สัตว์เลี้ยง]]</f>
        <v xml:space="preserve">ดินดี (13605) </v>
      </c>
      <c r="I69" s="19" t="str">
        <f>OfficeForms.Table[[#This Row],[ชื่อผู้ร้องเรียน]]</f>
        <v>ปริสา สารนุสิต  (9714)</v>
      </c>
      <c r="J69" s="19" t="str">
        <f>OfficeForms.Table[[#This Row],[เบอร์โทรศัพท์ผู้ร้องเรียน]]</f>
        <v>0896929496</v>
      </c>
      <c r="K69" s="19" t="str">
        <f>OfficeForms.Table[[#This Row],[หน่วยงานที่ถูกร้องเรียน]]</f>
        <v>CASHIER</v>
      </c>
      <c r="L69" s="19" t="s">
        <v>662</v>
      </c>
      <c r="M69" s="19" t="str">
        <f>OfficeForms.Table[[#This Row],[รายละเอียดข้อร้องเรียน]]</f>
        <v>หมอคีย์แพคเกจกายภาพผิด แต่บิลถูก finalize  ไปแล้วและมีการดึงเงินมัดจำในระบบของลูกค้าไปตัดบิลแล้ว</v>
      </c>
      <c r="N69" s="19" t="str">
        <f>OfficeForms.Table[[#This Row],[การแก้ไขเบื้องต้น (ถ้ามี)]]</f>
        <v>เขีนMemoให้บัญชีแก้ไขบิล</v>
      </c>
      <c r="O69" s="19" t="str">
        <f>OfficeForms.Table[[#This Row],[รหัสพนักงานผู้รายงาน (เพื่อสอบถามข้อมูลเพิ่มเติม)]]</f>
        <v>แพรวา</v>
      </c>
      <c r="P69" s="19" t="str">
        <f>OfficeForms.Table[[#This Row],[ชื่อพนักงานที่อยู่ในเหตุการณ์]]</f>
        <v>แพรวา</v>
      </c>
      <c r="Q69" s="19" t="str">
        <f>OfficeForms.Table[[#This Row],[ต้องคืนเงิน/ Credit note ลูกค้าหรือไม่]]</f>
        <v>ไม่ต้อง</v>
      </c>
      <c r="R69" s="19">
        <f>OfficeForms.Table[[#This Row],[Invoice'#/ Prepayment'#]]</f>
        <v>0</v>
      </c>
      <c r="S69" s="19">
        <f>OfficeForms.Table[[#This Row],[วันที่รับเงิน]]</f>
        <v>0</v>
      </c>
      <c r="T69" s="19">
        <f>OfficeForms.Table[[#This Row],[ชำระโดย]]</f>
        <v>0</v>
      </c>
      <c r="U69" s="19">
        <f>OfficeForms.Table[[#This Row],[ต้อง Adjust หรือ คืนเงินลูกค้าทางช่องทางใด]]</f>
        <v>0</v>
      </c>
      <c r="V69" s="19">
        <f>OfficeForms.Table[[#This Row],[ชื่อรายการที่ต้องคืน และมูลค่า (รวม VAT)]]</f>
        <v>0</v>
      </c>
      <c r="W69" s="19" t="s">
        <v>662</v>
      </c>
      <c r="X69" s="19" t="s">
        <v>1131</v>
      </c>
      <c r="Y69" s="26">
        <v>45909</v>
      </c>
    </row>
    <row r="70" spans="1:27" ht="87" hidden="1" customHeight="1">
      <c r="A70" s="19">
        <f>OfficeForms.Table[[#This Row],[Id]]</f>
        <v>72</v>
      </c>
      <c r="B70" s="18">
        <f>OfficeForms.Table[[#This Row],[Start time]]</f>
        <v>45917.383842592601</v>
      </c>
      <c r="C70" s="18">
        <f>OfficeForms.Table[[#This Row],[Completion time]]</f>
        <v>45917.385405092602</v>
      </c>
      <c r="D70" s="19" t="str">
        <f>OfficeForms.Table[[#This Row],[Email]]</f>
        <v>anonymous</v>
      </c>
      <c r="E70" s="19">
        <f>OfficeForms.Table[[#This Row],[Name]]</f>
        <v>0</v>
      </c>
      <c r="F70" s="19" t="str">
        <f>OfficeForms.Table[[#This Row],[สาขาที่เข้ารับบริการ]]</f>
        <v>สาขาทองหล่อ</v>
      </c>
      <c r="G70" s="18">
        <f>OfficeForms.Table[[#This Row],[วันที่เกิดเหตุ]]</f>
        <v>45909</v>
      </c>
      <c r="H70" s="19" t="str">
        <f>OfficeForms.Table[[#This Row],[ชื่อสัตว์เลี้ยง หรือ HN สัตว์เลี้ยง]]</f>
        <v>ฮันน่า (13608)</v>
      </c>
      <c r="I70" s="19" t="str">
        <f>OfficeForms.Table[[#This Row],[ชื่อผู้ร้องเรียน]]</f>
        <v>หฤทชญา ประพลวณิช &amp; ไพลิน เวอร์จิเนีย สปาน  (925)</v>
      </c>
      <c r="J70" s="19" t="str">
        <f>OfficeForms.Table[[#This Row],[เบอร์โทรศัพท์ผู้ร้องเรียน]]</f>
        <v>097 969 4449</v>
      </c>
      <c r="K70" s="19" t="str">
        <f>OfficeForms.Table[[#This Row],[หน่วยงานที่ถูกร้องเรียน]]</f>
        <v>VET</v>
      </c>
      <c r="L70" s="19" t="s">
        <v>1129</v>
      </c>
      <c r="M70" s="19" t="str">
        <f>OfficeForms.Table[[#This Row],[รายละเอียดข้อร้องเรียน]]</f>
        <v>หมอปนัดดาคีย์ยาผิด ต้องคีย์ VET PETZ ANTINOL DOG (Cap) แต่คีย์เป็นของแมวแทน บิลถูก finalize และเก็บเงินลูกค้าไปแล้ว</v>
      </c>
      <c r="N70" s="19" t="str">
        <f>OfficeForms.Table[[#This Row],[การแก้ไขเบื้องต้น (ถ้ามี)]]</f>
        <v>คิดเป็นราคาที่ถูกต้องและเก็บเงินลูกค้าเพิ่มเติม</v>
      </c>
      <c r="O70" s="19" t="str">
        <f>OfficeForms.Table[[#This Row],[รหัสพนักงานผู้รายงาน (เพื่อสอบถามข้อมูลเพิ่มเติม)]]</f>
        <v>แพรวา</v>
      </c>
      <c r="P70" s="19" t="str">
        <f>OfficeForms.Table[[#This Row],[ชื่อพนักงานที่อยู่ในเหตุการณ์]]</f>
        <v>แพรวา</v>
      </c>
      <c r="Q70" s="19" t="str">
        <f>OfficeForms.Table[[#This Row],[ต้องคืนเงิน/ Credit note ลูกค้าหรือไม่]]</f>
        <v>ไม่ต้อง</v>
      </c>
      <c r="R70" s="19">
        <f>OfficeForms.Table[[#This Row],[Invoice'#/ Prepayment'#]]</f>
        <v>0</v>
      </c>
      <c r="S70" s="19">
        <f>OfficeForms.Table[[#This Row],[วันที่รับเงิน]]</f>
        <v>0</v>
      </c>
      <c r="T70" s="19">
        <f>OfficeForms.Table[[#This Row],[ชำระโดย]]</f>
        <v>0</v>
      </c>
      <c r="U70" s="19">
        <f>OfficeForms.Table[[#This Row],[ต้อง Adjust หรือ คืนเงินลูกค้าทางช่องทางใด]]</f>
        <v>0</v>
      </c>
      <c r="V70" s="19">
        <f>OfficeForms.Table[[#This Row],[ชื่อรายการที่ต้องคืน และมูลค่า (รวม VAT)]]</f>
        <v>0</v>
      </c>
      <c r="W70" s="19" t="s">
        <v>1129</v>
      </c>
      <c r="X70" s="19" t="s">
        <v>1131</v>
      </c>
      <c r="Y70" s="26">
        <v>45912</v>
      </c>
    </row>
    <row r="71" spans="1:27" ht="28.5" hidden="1" customHeight="1">
      <c r="A71" s="19">
        <f>OfficeForms.Table[[#This Row],[Id]]</f>
        <v>73</v>
      </c>
      <c r="B71" s="18">
        <f>OfficeForms.Table[[#This Row],[Start time]]</f>
        <v>45917.862951388903</v>
      </c>
      <c r="C71" s="18">
        <f>OfficeForms.Table[[#This Row],[Completion time]]</f>
        <v>45917.870069444398</v>
      </c>
      <c r="D71" s="19" t="str">
        <f>OfficeForms.Table[[#This Row],[Email]]</f>
        <v>anonymous</v>
      </c>
      <c r="E71" s="19">
        <f>OfficeForms.Table[[#This Row],[Name]]</f>
        <v>0</v>
      </c>
      <c r="F71" s="19" t="str">
        <f>OfficeForms.Table[[#This Row],[สาขาที่เข้ารับบริการ]]</f>
        <v>สาขาทองหล่อ</v>
      </c>
      <c r="G71" s="18">
        <f>OfficeForms.Table[[#This Row],[วันที่เกิดเหตุ]]</f>
        <v>45915</v>
      </c>
      <c r="H71" s="19" t="str">
        <f>OfficeForms.Table[[#This Row],[ชื่อสัตว์เลี้ยง หรือ HN สัตว์เลี้ยง]]</f>
        <v>เยลลี่ 15928</v>
      </c>
      <c r="I71" s="19" t="str">
        <f>OfficeForms.Table[[#This Row],[ชื่อผู้ร้องเรียน]]</f>
        <v>K.ธัญลักษณ์11336</v>
      </c>
      <c r="J71" s="19" t="str">
        <f>OfficeForms.Table[[#This Row],[เบอร์โทรศัพท์ผู้ร้องเรียน]]</f>
        <v>0897855402</v>
      </c>
      <c r="K71" s="19" t="str">
        <f>OfficeForms.Table[[#This Row],[หน่วยงานที่ถูกร้องเรียน]]</f>
        <v>FRONT</v>
      </c>
      <c r="L71" s="19" t="s">
        <v>842</v>
      </c>
      <c r="M71" s="19" t="str">
        <f>OfficeForms.Table[[#This Row],[รายละเอียดข้อร้องเรียน]]</f>
        <v xml:space="preserve">  คีย์ค่าห้องพักicuสุนัขยอด 880 บาทเกิน ซึ่งในความเป็นจริงไม่ต้องเก็บค่าห้อง1คืนนี้ เนื่องจากลูกค้าใช้แพ็จเกจMRI โปร23,000    และได้มีการเรียกเก็บเงินกับลูกค้าแล้วทางลูกค้าชำระเงินเรียบร้อย จึงทำmemo เพื่อคืนเงินลูกค้าเข้าสู่ระบบ   ลูกค้าไม่พอใจกับเหคุการณ์ดังกล่าวและได้มีการคอมเพลนนายธัญชนกร :( </v>
      </c>
      <c r="N71" s="19" t="str">
        <f>OfficeForms.Table[[#This Row],[การแก้ไขเบื้องต้น (ถ้ามี)]]</f>
        <v xml:space="preserve">ตรวจเช็คให้ดีว่าลูกค้าพาสุนัขเข้ามารับการรักษาและได้ใช้แพ็คเกจอะไรในการรักษาและรวมค่าห้องแล้วหรือยัง </v>
      </c>
      <c r="O71" s="19" t="str">
        <f>OfficeForms.Table[[#This Row],[รหัสพนักงานผู้รายงาน (เพื่อสอบถามข้อมูลเพิ่มเติม)]]</f>
        <v>0238</v>
      </c>
      <c r="P71" s="19" t="str">
        <f>OfficeForms.Table[[#This Row],[ชื่อพนักงานที่อยู่ในเหตุการณ์]]</f>
        <v>Thanchanakorn0238</v>
      </c>
      <c r="Q71" s="19" t="str">
        <f>OfficeForms.Table[[#This Row],[ต้องคืนเงิน/ Credit note ลูกค้าหรือไม่]]</f>
        <v>ต้อง</v>
      </c>
      <c r="R71" s="19" t="str">
        <f>OfficeForms.Table[[#This Row],[Invoice'#/ Prepayment'#]]</f>
        <v>21250018645</v>
      </c>
      <c r="S71" s="19">
        <f>OfficeForms.Table[[#This Row],[วันที่รับเงิน]]</f>
        <v>45915</v>
      </c>
      <c r="T71" s="19" t="str">
        <f>OfficeForms.Table[[#This Row],[ชำระโดย]]</f>
        <v>Credit card</v>
      </c>
      <c r="U71" s="19" t="str">
        <f>OfficeForms.Table[[#This Row],[ต้อง Adjust หรือ คืนเงินลูกค้าทางช่องทางใด]]</f>
        <v>คืนเงินลูกค้า (เข้า Prepayment)</v>
      </c>
      <c r="V71" s="19" t="str">
        <f>OfficeForms.Table[[#This Row],[ชื่อรายการที่ต้องคืน และมูลค่า (รวม VAT)]]</f>
        <v>1100 บาท (รายละเอียดยอด230ที่เพิ่มเข้ามาได้ทำการเขียนmemoเพื่ออธิบายแล้ว</v>
      </c>
      <c r="W71" s="19" t="s">
        <v>842</v>
      </c>
      <c r="X71" s="19" t="s">
        <v>1131</v>
      </c>
      <c r="Y71" s="26">
        <v>45909</v>
      </c>
    </row>
    <row r="72" spans="1:27" ht="123.75" hidden="1" customHeight="1">
      <c r="A72" s="19">
        <f>OfficeForms.Table[[#This Row],[Id]]</f>
        <v>74</v>
      </c>
      <c r="B72" s="18">
        <f>OfficeForms.Table[[#This Row],[Start time]]</f>
        <v>45918.683506944399</v>
      </c>
      <c r="C72" s="18">
        <f>OfficeForms.Table[[#This Row],[Completion time]]</f>
        <v>45918.688969907402</v>
      </c>
      <c r="D72" s="19" t="str">
        <f>OfficeForms.Table[[#This Row],[Email]]</f>
        <v>anonymous</v>
      </c>
      <c r="E72" s="19">
        <f>OfficeForms.Table[[#This Row],[Name]]</f>
        <v>0</v>
      </c>
      <c r="F72" s="19" t="str">
        <f>OfficeForms.Table[[#This Row],[สาขาที่เข้ารับบริการ]]</f>
        <v>สาขาภูเก็ต</v>
      </c>
      <c r="G72" s="18">
        <f>OfficeForms.Table[[#This Row],[วันที่เกิดเหตุ]]</f>
        <v>45915</v>
      </c>
      <c r="H72" s="19" t="str">
        <f>OfficeForms.Table[[#This Row],[ชื่อสัตว์เลี้ยง หรือ HN สัตว์เลี้ยง]]</f>
        <v>Marina(มารีน่า) 15759</v>
      </c>
      <c r="I72" s="19" t="str">
        <f>OfficeForms.Table[[#This Row],[ชื่อผู้ร้องเรียน]]</f>
        <v>JL</v>
      </c>
      <c r="J72" s="19" t="str">
        <f>OfficeForms.Table[[#This Row],[เบอร์โทรศัพท์ผู้ร้องเรียน]]</f>
        <v>0842535137</v>
      </c>
      <c r="K72" s="19" t="str">
        <f>OfficeForms.Table[[#This Row],[หน่วยงานที่ถูกร้องเรียน]]</f>
        <v>VET</v>
      </c>
      <c r="L72" s="19" t="s">
        <v>1129</v>
      </c>
      <c r="M72" s="19" t="str">
        <f>OfficeForms.Table[[#This Row],[รายละเอียดข้อร้องเรียน]]</f>
        <v>ลูกค้ามาตรวจเลือดเพื่อทำ CT scan ในวันที่ 15 แต่ตรวจเลือดวันที่ 14 ในวันที่ 14 หมอคีย์คำสั่งตรวจเลือดซ้ำไปสองรอบ เจ้าหน้าที่แล็บมาเห็นว่ายังมีคำสั่งค้างตรวจอยู่และมีเลือดที่เจาะมาให้ เลยตรวจซ้ำ ทั้งที่เก็บตรวจไปเสร็จแล้วตั้งแต่เมื่อวาน ทำให้คิดเงินเกิน ต้องทำเรื่องคืนเงินลูกค้า</v>
      </c>
      <c r="N72" s="19" t="str">
        <f>OfficeForms.Table[[#This Row],[การแก้ไขเบื้องต้น (ถ้ามี)]]</f>
        <v>หมอควรเช็คคำสั่งแล็บหลังคีย์เสร็จว่าถูกต้องหรือเปล่า</v>
      </c>
      <c r="O72" s="19" t="str">
        <f>OfficeForms.Table[[#This Row],[รหัสพนักงานผู้รายงาน (เพื่อสอบถามข้อมูลเพิ่มเติม)]]</f>
        <v>1044</v>
      </c>
      <c r="P72" s="19" t="str">
        <f>OfficeForms.Table[[#This Row],[ชื่อพนักงานที่อยู่ในเหตุการณ์]]</f>
        <v>หมอ FHA</v>
      </c>
      <c r="Q72" s="19" t="str">
        <f>OfficeForms.Table[[#This Row],[ต้องคืนเงิน/ Credit note ลูกค้าหรือไม่]]</f>
        <v>ต้อง</v>
      </c>
      <c r="R72" s="19" t="str">
        <f>OfficeForms.Table[[#This Row],[Invoice'#/ Prepayment'#]]</f>
        <v>41250005302</v>
      </c>
      <c r="S72" s="19">
        <f>OfficeForms.Table[[#This Row],[วันที่รับเงิน]]</f>
        <v>45916</v>
      </c>
      <c r="T72" s="19" t="str">
        <f>OfficeForms.Table[[#This Row],[ชำระโดย]]</f>
        <v>QR code</v>
      </c>
      <c r="U72" s="19" t="str">
        <f>OfficeForms.Table[[#This Row],[ต้อง Adjust หรือ คืนเงินลูกค้าทางช่องทางใด]]</f>
        <v>คืนเงินลูกค้า (โอนคืน)</v>
      </c>
      <c r="V72" s="19" t="str">
        <f>OfficeForms.Table[[#This Row],[ชื่อรายการที่ต้องคืน และมูลค่า (รวม VAT)]]</f>
        <v>ค่าตรวจ CBC&amp;DIFF IDEXX 300 บาท และค่าตรวจ CHEM10 1,300 บาท</v>
      </c>
      <c r="W72" s="19" t="s">
        <v>1129</v>
      </c>
      <c r="X72" s="19" t="s">
        <v>1135</v>
      </c>
      <c r="Y72" s="26">
        <v>45915</v>
      </c>
    </row>
    <row r="73" spans="1:27" ht="28.5" hidden="1" customHeight="1">
      <c r="A73" s="19">
        <f>OfficeForms.Table[[#This Row],[Id]]</f>
        <v>75</v>
      </c>
      <c r="B73" s="18">
        <f>OfficeForms.Table[[#This Row],[Start time]]</f>
        <v>45918.689016203702</v>
      </c>
      <c r="C73" s="18">
        <f>OfficeForms.Table[[#This Row],[Completion time]]</f>
        <v>45918.700972222199</v>
      </c>
      <c r="D73" s="19" t="str">
        <f>OfficeForms.Table[[#This Row],[Email]]</f>
        <v>anonymous</v>
      </c>
      <c r="E73" s="19">
        <f>OfficeForms.Table[[#This Row],[Name]]</f>
        <v>0</v>
      </c>
      <c r="F73" s="19" t="str">
        <f>OfficeForms.Table[[#This Row],[สาขาที่เข้ารับบริการ]]</f>
        <v>สาขาภูเก็ต</v>
      </c>
      <c r="G73" s="18">
        <f>OfficeForms.Table[[#This Row],[วันที่เกิดเหตุ]]</f>
        <v>45908</v>
      </c>
      <c r="H73" s="19" t="str">
        <f>OfficeForms.Table[[#This Row],[ชื่อสัตว์เลี้ยง หรือ HN สัตว์เลี้ยง]]</f>
        <v>Avanza (15947)</v>
      </c>
      <c r="I73" s="19" t="str">
        <f>OfficeForms.Table[[#This Row],[ชื่อผู้ร้องเรียน]]</f>
        <v>JL</v>
      </c>
      <c r="J73" s="19" t="str">
        <f>OfficeForms.Table[[#This Row],[เบอร์โทรศัพท์ผู้ร้องเรียน]]</f>
        <v>0842535137</v>
      </c>
      <c r="K73" s="19" t="str">
        <f>OfficeForms.Table[[#This Row],[หน่วยงานที่ถูกร้องเรียน]]</f>
        <v>VET</v>
      </c>
      <c r="L73" s="19" t="s">
        <v>1129</v>
      </c>
      <c r="M73" s="19" t="str">
        <f>OfficeForms.Table[[#This Row],[รายละเอียดข้อร้องเรียน]]</f>
        <v>หมอคีย์คำสั่งตรวจ CBC ซ้ำ</v>
      </c>
      <c r="N73" s="19" t="str">
        <f>OfficeForms.Table[[#This Row],[การแก้ไขเบื้องต้น (ถ้ามี)]]</f>
        <v>เช็คคำสั่งแล็บก่อนกดตกลงตรวจ หรืออย่างน้อยควรเช็คก่อนให้ลูกค้าชำระเงิน</v>
      </c>
      <c r="O73" s="19" t="str">
        <f>OfficeForms.Table[[#This Row],[รหัสพนักงานผู้รายงาน (เพื่อสอบถามข้อมูลเพิ่มเติม)]]</f>
        <v>1044</v>
      </c>
      <c r="P73" s="19" t="str">
        <f>OfficeForms.Table[[#This Row],[ชื่อพนักงานที่อยู่ในเหตุการณ์]]</f>
        <v>หมอ AU</v>
      </c>
      <c r="Q73" s="19" t="str">
        <f>OfficeForms.Table[[#This Row],[ต้องคืนเงิน/ Credit note ลูกค้าหรือไม่]]</f>
        <v>ต้อง</v>
      </c>
      <c r="R73" s="19" t="str">
        <f>OfficeForms.Table[[#This Row],[Invoice'#/ Prepayment'#]]</f>
        <v>41250005150</v>
      </c>
      <c r="S73" s="19">
        <f>OfficeForms.Table[[#This Row],[วันที่รับเงิน]]</f>
        <v>45909</v>
      </c>
      <c r="T73" s="19" t="str">
        <f>OfficeForms.Table[[#This Row],[ชำระโดย]]</f>
        <v>QR code</v>
      </c>
      <c r="U73" s="19" t="str">
        <f>OfficeForms.Table[[#This Row],[ต้อง Adjust หรือ คืนเงินลูกค้าทางช่องทางใด]]</f>
        <v>คืนเงินลูกค้า (เข้า Prepayment)</v>
      </c>
      <c r="V73" s="19" t="str">
        <f>OfficeForms.Table[[#This Row],[ชื่อรายการที่ต้องคืน และมูลค่า (รวม VAT)]]</f>
        <v>ค่าตรวจ CBC&amp;DIFF IDEXX 300 บาท</v>
      </c>
      <c r="W73" s="19" t="s">
        <v>1129</v>
      </c>
      <c r="Y73" s="19"/>
    </row>
    <row r="74" spans="1:27" ht="28.5" hidden="1" customHeight="1">
      <c r="A74" s="19">
        <f>OfficeForms.Table[[#This Row],[Id]]</f>
        <v>76</v>
      </c>
      <c r="B74" s="18">
        <f>OfficeForms.Table[[#This Row],[Start time]]</f>
        <v>45919.932222222204</v>
      </c>
      <c r="C74" s="18">
        <f>OfficeForms.Table[[#This Row],[Completion time]]</f>
        <v>45919.934513888897</v>
      </c>
      <c r="D74" s="19" t="str">
        <f>OfficeForms.Table[[#This Row],[Email]]</f>
        <v>anonymous</v>
      </c>
      <c r="E74" s="19">
        <f>OfficeForms.Table[[#This Row],[Name]]</f>
        <v>0</v>
      </c>
      <c r="F74" s="19" t="str">
        <f>OfficeForms.Table[[#This Row],[สาขาที่เข้ารับบริการ]]</f>
        <v>สาขาทองหล่อ</v>
      </c>
      <c r="G74" s="18">
        <f>OfficeForms.Table[[#This Row],[วันที่เกิดเหตุ]]</f>
        <v>45919</v>
      </c>
      <c r="H74" s="19" t="str">
        <f>OfficeForms.Table[[#This Row],[ชื่อสัตว์เลี้ยง หรือ HN สัตว์เลี้ยง]]</f>
        <v>Bonbon9218</v>
      </c>
      <c r="I74" s="19" t="str">
        <f>OfficeForms.Table[[#This Row],[ชื่อผู้ร้องเรียน]]</f>
        <v>Jay kim (Phanupat เขียนแทน)</v>
      </c>
      <c r="J74" s="19" t="str">
        <f>OfficeForms.Table[[#This Row],[เบอร์โทรศัพท์ผู้ร้องเรียน]]</f>
        <v>0989782337</v>
      </c>
      <c r="K74" s="19" t="str">
        <f>OfficeForms.Table[[#This Row],[หน่วยงานที่ถูกร้องเรียน]]</f>
        <v>FRONT</v>
      </c>
      <c r="L74" s="19" t="s">
        <v>1129</v>
      </c>
      <c r="M74" s="19" t="str">
        <f>OfficeForms.Table[[#This Row],[รายละเอียดข้อร้องเรียน]]</f>
        <v>ไม่เปิดเช็คอิน ทำให้เคสรอหมอค่อนข้างนาน ขาดการประสานงานต่อ</v>
      </c>
      <c r="N74" s="19" t="str">
        <f>OfficeForms.Table[[#This Row],[การแก้ไขเบื้องต้น (ถ้ามี)]]</f>
        <v>ขอโทษลูกค้า ตักเตือนในทีม</v>
      </c>
      <c r="O74" s="19" t="str">
        <f>OfficeForms.Table[[#This Row],[รหัสพนักงานผู้รายงาน (เพื่อสอบถามข้อมูลเพิ่มเติม)]]</f>
        <v>0235</v>
      </c>
      <c r="P74" s="19" t="str">
        <f>OfficeForms.Table[[#This Row],[ชื่อพนักงานที่อยู่ในเหตุการณ์]]</f>
        <v xml:space="preserve">บอส แพรวา </v>
      </c>
      <c r="Q74" s="19" t="str">
        <f>OfficeForms.Table[[#This Row],[ต้องคืนเงิน/ Credit note ลูกค้าหรือไม่]]</f>
        <v>ไม่ต้อง</v>
      </c>
      <c r="R74" s="19">
        <f>OfficeForms.Table[[#This Row],[Invoice'#/ Prepayment'#]]</f>
        <v>0</v>
      </c>
      <c r="S74" s="19">
        <f>OfficeForms.Table[[#This Row],[วันที่รับเงิน]]</f>
        <v>0</v>
      </c>
      <c r="T74" s="19">
        <f>OfficeForms.Table[[#This Row],[ชำระโดย]]</f>
        <v>0</v>
      </c>
      <c r="U74" s="19">
        <f>OfficeForms.Table[[#This Row],[ต้อง Adjust หรือ คืนเงินลูกค้าทางช่องทางใด]]</f>
        <v>0</v>
      </c>
      <c r="V74" s="19">
        <f>OfficeForms.Table[[#This Row],[ชื่อรายการที่ต้องคืน และมูลค่า (รวม VAT)]]</f>
        <v>0</v>
      </c>
      <c r="W74" s="19" t="s">
        <v>1129</v>
      </c>
      <c r="Y74" s="19"/>
    </row>
    <row r="75" spans="1:27" ht="28.5" hidden="1" customHeight="1">
      <c r="A75" s="19">
        <f>OfficeForms.Table[[#This Row],[Id]]</f>
        <v>77</v>
      </c>
      <c r="B75" s="18">
        <f>OfficeForms.Table[[#This Row],[Start time]]</f>
        <v>45921.321550925903</v>
      </c>
      <c r="C75" s="18">
        <f>OfficeForms.Table[[#This Row],[Completion time]]</f>
        <v>45921.324189814797</v>
      </c>
      <c r="D75" s="19" t="str">
        <f>OfficeForms.Table[[#This Row],[Email]]</f>
        <v>anonymous</v>
      </c>
      <c r="E75" s="19">
        <f>OfficeForms.Table[[#This Row],[Name]]</f>
        <v>0</v>
      </c>
      <c r="F75" s="19" t="str">
        <f>OfficeForms.Table[[#This Row],[สาขาที่เข้ารับบริการ]]</f>
        <v>สาขาทองหล่อ</v>
      </c>
      <c r="G75" s="18">
        <f>OfficeForms.Table[[#This Row],[วันที่เกิดเหตุ]]</f>
        <v>45919</v>
      </c>
      <c r="H75" s="19" t="str">
        <f>OfficeForms.Table[[#This Row],[ชื่อสัตว์เลี้ยง หรือ HN สัตว์เลี้ยง]]</f>
        <v>Victoria (14942) Walter (14941)</v>
      </c>
      <c r="I75" s="19" t="str">
        <f>OfficeForms.Table[[#This Row],[ชื่อผู้ร้องเรียน]]</f>
        <v xml:space="preserve"> Ana Vang   (10419)</v>
      </c>
      <c r="J75" s="19" t="str">
        <f>OfficeForms.Table[[#This Row],[เบอร์โทรศัพท์ผู้ร้องเรียน]]</f>
        <v>094 320 2919</v>
      </c>
      <c r="K75" s="19" t="str">
        <f>OfficeForms.Table[[#This Row],[หน่วยงานที่ถูกร้องเรียน]]</f>
        <v>VET</v>
      </c>
      <c r="L75" s="19" t="s">
        <v>603</v>
      </c>
      <c r="M75" s="19" t="str">
        <f>OfficeForms.Table[[#This Row],[รายละเอียดข้อร้องเรียน]]</f>
        <v>เจ้าของพิมพ์แจ้งมาว่า - Its been a week now and I am highly dissatisfied that I need to ask so many times for the fecal test results! I feel I am being disrespected Tuesday you said it Tuesday, yesterday that its today, today that its tomorrow - เนื่องจากเจ้าของส่งตรวจแลปและแจ้งขอผลมา ทาง Front เช็คแล้วว่าผลออกแล้วจึงแจ้งขอผลจากคุณหมอไปก่อนในวันที่ยังไม่เข้าเวร แต่ไม่ได้รับการตอบกลับ จึงแจ้งลูกค้าไปใหม่ว่าหมอจะเข้ามาออกตรวจวันศุกร์ แต่วันศุกร์หมอยังไม่มีการติดต่อกลับลูกค้าไป ทำให้ลูกค้าไม่พอใจ</v>
      </c>
      <c r="N75" s="19" t="str">
        <f>OfficeForms.Table[[#This Row],[การแก้ไขเบื้องต้น (ถ้ามี)]]</f>
        <v>ประสานงานกับหมอเรื่อยๆ</v>
      </c>
      <c r="O75" s="19" t="str">
        <f>OfficeForms.Table[[#This Row],[รหัสพนักงานผู้รายงาน (เพื่อสอบถามข้อมูลเพิ่มเติม)]]</f>
        <v>Front</v>
      </c>
      <c r="P75" s="19" t="str">
        <f>OfficeForms.Table[[#This Row],[ชื่อพนักงานที่อยู่ในเหตุการณ์]]</f>
        <v>Front</v>
      </c>
      <c r="Q75" s="19" t="str">
        <f>OfficeForms.Table[[#This Row],[ต้องคืนเงิน/ Credit note ลูกค้าหรือไม่]]</f>
        <v>ไม่ต้อง</v>
      </c>
      <c r="R75" s="19">
        <f>OfficeForms.Table[[#This Row],[Invoice'#/ Prepayment'#]]</f>
        <v>0</v>
      </c>
      <c r="S75" s="19">
        <f>OfficeForms.Table[[#This Row],[วันที่รับเงิน]]</f>
        <v>0</v>
      </c>
      <c r="T75" s="19">
        <f>OfficeForms.Table[[#This Row],[ชำระโดย]]</f>
        <v>0</v>
      </c>
      <c r="U75" s="19">
        <f>OfficeForms.Table[[#This Row],[ต้อง Adjust หรือ คืนเงินลูกค้าทางช่องทางใด]]</f>
        <v>0</v>
      </c>
      <c r="V75" s="19">
        <f>OfficeForms.Table[[#This Row],[ชื่อรายการที่ต้องคืน และมูลค่า (รวม VAT)]]</f>
        <v>0</v>
      </c>
      <c r="W75" s="19" t="s">
        <v>603</v>
      </c>
      <c r="X75" s="19" t="s">
        <v>1135</v>
      </c>
      <c r="Y75" s="26">
        <v>45919</v>
      </c>
    </row>
    <row r="76" spans="1:27" ht="28.5" hidden="1" customHeight="1">
      <c r="A76" s="19">
        <f>OfficeForms.Table[[#This Row],[Id]]</f>
        <v>78</v>
      </c>
      <c r="B76" s="18">
        <f>OfficeForms.Table[[#This Row],[Start time]]</f>
        <v>45922.449687499997</v>
      </c>
      <c r="C76" s="18">
        <f>OfficeForms.Table[[#This Row],[Completion time]]</f>
        <v>45922.450717592597</v>
      </c>
      <c r="D76" s="19" t="str">
        <f>OfficeForms.Table[[#This Row],[Email]]</f>
        <v>anonymous</v>
      </c>
      <c r="E76" s="19">
        <f>OfficeForms.Table[[#This Row],[Name]]</f>
        <v>0</v>
      </c>
      <c r="F76" s="19" t="str">
        <f>OfficeForms.Table[[#This Row],[สาขาที่เข้ารับบริการ]]</f>
        <v>สาขาทองหล่อ</v>
      </c>
      <c r="G76" s="18">
        <f>OfficeForms.Table[[#This Row],[วันที่เกิดเหตุ]]</f>
        <v>45914</v>
      </c>
      <c r="H76" s="19" t="str">
        <f>OfficeForms.Table[[#This Row],[ชื่อสัตว์เลี้ยง หรือ HN สัตว์เลี้ยง]]</f>
        <v>16258</v>
      </c>
      <c r="I76" s="19" t="str">
        <f>OfficeForms.Table[[#This Row],[ชื่อผู้ร้องเรียน]]</f>
        <v>สาธิต</v>
      </c>
      <c r="J76" s="19" t="str">
        <f>OfficeForms.Table[[#This Row],[เบอร์โทรศัพท์ผู้ร้องเรียน]]</f>
        <v>0804403799</v>
      </c>
      <c r="K76" s="19" t="str">
        <f>OfficeForms.Table[[#This Row],[หน่วยงานที่ถูกร้องเรียน]]</f>
        <v>VET</v>
      </c>
      <c r="L76" s="19" t="s">
        <v>603</v>
      </c>
      <c r="M76" s="19" t="str">
        <f>OfficeForms.Table[[#This Row],[รายละเอียดข้อร้องเรียน]]</f>
        <v>จ่ายยาผิด mg จาก enro 15 mg เป็น 50 mg</v>
      </c>
      <c r="N76" s="19" t="str">
        <f>OfficeForms.Table[[#This Row],[การแก้ไขเบื้องต้น (ถ้ามี)]]</f>
        <v>เช็คอีกรอบก่อนการจ่ายยา</v>
      </c>
      <c r="O76" s="19" t="str">
        <f>OfficeForms.Table[[#This Row],[รหัสพนักงานผู้รายงาน (เพื่อสอบถามข้อมูลเพิ่มเติม)]]</f>
        <v>1039</v>
      </c>
      <c r="P76" s="19" t="str">
        <f>OfficeForms.Table[[#This Row],[ชื่อพนักงานที่อยู่ในเหตุการณ์]]</f>
        <v>พี่ปัด</v>
      </c>
      <c r="Q76" s="19" t="str">
        <f>OfficeForms.Table[[#This Row],[ต้องคืนเงิน/ Credit note ลูกค้าหรือไม่]]</f>
        <v>ไม่ต้อง</v>
      </c>
      <c r="R76" s="19">
        <f>OfficeForms.Table[[#This Row],[Invoice'#/ Prepayment'#]]</f>
        <v>0</v>
      </c>
      <c r="S76" s="19">
        <f>OfficeForms.Table[[#This Row],[วันที่รับเงิน]]</f>
        <v>0</v>
      </c>
      <c r="T76" s="19">
        <f>OfficeForms.Table[[#This Row],[ชำระโดย]]</f>
        <v>0</v>
      </c>
      <c r="U76" s="19">
        <f>OfficeForms.Table[[#This Row],[ต้อง Adjust หรือ คืนเงินลูกค้าทางช่องทางใด]]</f>
        <v>0</v>
      </c>
      <c r="V76" s="19">
        <f>OfficeForms.Table[[#This Row],[ชื่อรายการที่ต้องคืน และมูลค่า (รวม VAT)]]</f>
        <v>0</v>
      </c>
      <c r="W76" s="19" t="s">
        <v>603</v>
      </c>
      <c r="X76" s="19" t="s">
        <v>1131</v>
      </c>
      <c r="Y76" s="26">
        <v>45922</v>
      </c>
    </row>
    <row r="77" spans="1:27" ht="28.5" hidden="1" customHeight="1">
      <c r="A77" s="19">
        <f>OfficeForms.Table[[#This Row],[Id]]</f>
        <v>79</v>
      </c>
      <c r="B77" s="18">
        <f>OfficeForms.Table[[#This Row],[Start time]]</f>
        <v>45922.695462962998</v>
      </c>
      <c r="C77" s="18">
        <f>OfficeForms.Table[[#This Row],[Completion time]]</f>
        <v>45922.699942129599</v>
      </c>
      <c r="D77" s="19" t="str">
        <f>OfficeForms.Table[[#This Row],[Email]]</f>
        <v>anonymous</v>
      </c>
      <c r="E77" s="19">
        <f>OfficeForms.Table[[#This Row],[Name]]</f>
        <v>0</v>
      </c>
      <c r="F77" s="19" t="str">
        <f>OfficeForms.Table[[#This Row],[สาขาที่เข้ารับบริการ]]</f>
        <v>สาขาทองหล่อ</v>
      </c>
      <c r="G77" s="18">
        <f>OfficeForms.Table[[#This Row],[วันที่เกิดเหตุ]]</f>
        <v>45922</v>
      </c>
      <c r="H77" s="19" t="str">
        <f>OfficeForms.Table[[#This Row],[ชื่อสัตว์เลี้ยง หรือ HN สัตว์เลี้ยง]]</f>
        <v>สีนิฬ (10187)</v>
      </c>
      <c r="I77" s="19" t="str">
        <f>OfficeForms.Table[[#This Row],[ชื่อผู้ร้องเรียน]]</f>
        <v>Grace</v>
      </c>
      <c r="J77" s="19" t="str">
        <f>OfficeForms.Table[[#This Row],[เบอร์โทรศัพท์ผู้ร้องเรียน]]</f>
        <v>0968386780</v>
      </c>
      <c r="K77" s="19" t="str">
        <f>OfficeForms.Table[[#This Row],[หน่วยงานที่ถูกร้องเรียน]]</f>
        <v>FRONT</v>
      </c>
      <c r="L77" s="19" t="s">
        <v>1129</v>
      </c>
      <c r="M77" s="19" t="str">
        <f>OfficeForms.Table[[#This Row],[รายละเอียดข้อร้องเรียน]]</f>
        <v>ข้างล่างไม่แจ้งหมอมิ้มว่าสีนิฬมาแล้ว พี่นั่งรอนานแล้วน้องพยาบาลเนยเดินมาทักและแจ้งหมอมิ้มให้</v>
      </c>
      <c r="N77" s="19" t="str">
        <f>OfficeForms.Table[[#This Row],[การแก้ไขเบื้องต้น (ถ้ามี)]]</f>
        <v>หมอมิ้มมาตรวจน้องทัน</v>
      </c>
      <c r="O77" s="19" t="str">
        <f>OfficeForms.Table[[#This Row],[รหัสพนักงานผู้รายงาน (เพื่อสอบถามข้อมูลเพิ่มเติม)]]</f>
        <v>-</v>
      </c>
      <c r="P77" s="19" t="str">
        <f>OfficeForms.Table[[#This Row],[ชื่อพนักงานที่อยู่ในเหตุการณ์]]</f>
        <v>น้องเนย</v>
      </c>
      <c r="Q77" s="19" t="str">
        <f>OfficeForms.Table[[#This Row],[ต้องคืนเงิน/ Credit note ลูกค้าหรือไม่]]</f>
        <v>ไม่ต้อง</v>
      </c>
      <c r="R77" s="19">
        <f>OfficeForms.Table[[#This Row],[Invoice'#/ Prepayment'#]]</f>
        <v>0</v>
      </c>
      <c r="S77" s="19">
        <f>OfficeForms.Table[[#This Row],[วันที่รับเงิน]]</f>
        <v>0</v>
      </c>
      <c r="T77" s="19">
        <f>OfficeForms.Table[[#This Row],[ชำระโดย]]</f>
        <v>0</v>
      </c>
      <c r="U77" s="19">
        <f>OfficeForms.Table[[#This Row],[ต้อง Adjust หรือ คืนเงินลูกค้าทางช่องทางใด]]</f>
        <v>0</v>
      </c>
      <c r="V77" s="19">
        <f>OfficeForms.Table[[#This Row],[ชื่อรายการที่ต้องคืน และมูลค่า (รวม VAT)]]</f>
        <v>0</v>
      </c>
      <c r="W77" s="19" t="s">
        <v>1129</v>
      </c>
      <c r="X77" s="19" t="s">
        <v>1131</v>
      </c>
      <c r="Y77" s="26">
        <v>45914</v>
      </c>
    </row>
    <row r="78" spans="1:27" ht="86.25" hidden="1" customHeight="1">
      <c r="A78" s="19">
        <f>OfficeForms.Table[[#This Row],[Id]]</f>
        <v>80</v>
      </c>
      <c r="B78" s="18">
        <f>OfficeForms.Table[[#This Row],[Start time]]</f>
        <v>45925.377083333296</v>
      </c>
      <c r="C78" s="18">
        <f>OfficeForms.Table[[#This Row],[Completion time]]</f>
        <v>45925.380543981497</v>
      </c>
      <c r="D78" s="19" t="str">
        <f>OfficeForms.Table[[#This Row],[Email]]</f>
        <v>anonymous</v>
      </c>
      <c r="E78" s="19">
        <f>OfficeForms.Table[[#This Row],[Name]]</f>
        <v>0</v>
      </c>
      <c r="F78" s="19" t="str">
        <f>OfficeForms.Table[[#This Row],[สาขาที่เข้ารับบริการ]]</f>
        <v>สาขาทองหล่อ</v>
      </c>
      <c r="G78" s="18">
        <f>OfficeForms.Table[[#This Row],[วันที่เกิดเหตุ]]</f>
        <v>45924</v>
      </c>
      <c r="H78" s="19" t="str">
        <f>OfficeForms.Table[[#This Row],[ชื่อสัตว์เลี้ยง หรือ HN สัตว์เลี้ยง]]</f>
        <v>คากิ 16591</v>
      </c>
      <c r="I78" s="19" t="str">
        <f>OfficeForms.Table[[#This Row],[ชื่อผู้ร้องเรียน]]</f>
        <v>สาขาเพชรเกษมได้รับเรื่องจากลูกค้า คุณสมพร</v>
      </c>
      <c r="J78" s="19" t="str">
        <f>OfficeForms.Table[[#This Row],[เบอร์โทรศัพท์ผู้ร้องเรียน]]</f>
        <v>0854882947</v>
      </c>
      <c r="K78" s="19" t="str">
        <f>OfficeForms.Table[[#This Row],[หน่วยงานที่ถูกร้องเรียน]]</f>
        <v>FRONT</v>
      </c>
      <c r="L78" s="19" t="s">
        <v>603</v>
      </c>
      <c r="M78" s="19" t="str">
        <f>OfficeForms.Table[[#This Row],[รายละเอียดข้อร้องเรียน]]</f>
        <v>ลูกค้าโทรไปทำนัดU/Sตอนเที่ยงคืนFrontแจ้งว่ามาได้พรุ่งนี้ตอน10โมง พอลูกค้ากำลังเดินทางใกล้ถึงรพมีคนโทรไปแจ้งว่าคิว U/Sเต็มได้คิวอีกทีเป็นวันศุกร์ลูกค่าแจ้งว่าเสียเวลามาก</v>
      </c>
      <c r="N78" s="19" t="str">
        <f>OfficeForms.Table[[#This Row],[การแก้ไขเบื้องต้น (ถ้ามี)]]</f>
        <v>ลูกค้ามาสาขาเพชรเกษมแทนFrontขอโทษลูกค้าและแจ้งรับเรื่องมาแก้ไข</v>
      </c>
      <c r="O78" s="19" t="str">
        <f>OfficeForms.Table[[#This Row],[รหัสพนักงานผู้รายงาน (เพื่อสอบถามข้อมูลเพิ่มเติม)]]</f>
        <v>0251</v>
      </c>
      <c r="P78" s="19" t="str">
        <f>OfficeForms.Table[[#This Row],[ชื่อพนักงานที่อยู่ในเหตุการณ์]]</f>
        <v>ตอง กับ แป้ง</v>
      </c>
      <c r="Q78" s="19" t="str">
        <f>OfficeForms.Table[[#This Row],[ต้องคืนเงิน/ Credit note ลูกค้าหรือไม่]]</f>
        <v>ไม่ต้อง</v>
      </c>
      <c r="R78" s="19">
        <f>OfficeForms.Table[[#This Row],[Invoice'#/ Prepayment'#]]</f>
        <v>0</v>
      </c>
      <c r="S78" s="19">
        <f>OfficeForms.Table[[#This Row],[วันที่รับเงิน]]</f>
        <v>0</v>
      </c>
      <c r="T78" s="19">
        <f>OfficeForms.Table[[#This Row],[ชำระโดย]]</f>
        <v>0</v>
      </c>
      <c r="U78" s="19">
        <f>OfficeForms.Table[[#This Row],[ต้อง Adjust หรือ คืนเงินลูกค้าทางช่องทางใด]]</f>
        <v>0</v>
      </c>
      <c r="V78" s="19">
        <f>OfficeForms.Table[[#This Row],[ชื่อรายการที่ต้องคืน และมูลค่า (รวม VAT)]]</f>
        <v>0</v>
      </c>
      <c r="W78" s="19" t="s">
        <v>603</v>
      </c>
      <c r="X78" s="19" t="s">
        <v>1131</v>
      </c>
      <c r="Y78" s="26">
        <v>45922</v>
      </c>
    </row>
    <row r="79" spans="1:27" ht="67.5" hidden="1" customHeight="1">
      <c r="A79" s="19">
        <f>OfficeForms.Table[[#This Row],[Id]]</f>
        <v>81</v>
      </c>
      <c r="B79" s="18">
        <f>OfficeForms.Table[[#This Row],[Start time]]</f>
        <v>45926.689317129603</v>
      </c>
      <c r="C79" s="18">
        <f>OfficeForms.Table[[#This Row],[Completion time]]</f>
        <v>45926.695254629602</v>
      </c>
      <c r="D79" s="19" t="str">
        <f>OfficeForms.Table[[#This Row],[Email]]</f>
        <v>anonymous</v>
      </c>
      <c r="E79" s="19">
        <f>OfficeForms.Table[[#This Row],[Name]]</f>
        <v>0</v>
      </c>
      <c r="F79" s="19" t="str">
        <f>OfficeForms.Table[[#This Row],[สาขาที่เข้ารับบริการ]]</f>
        <v>สาขาทองหล่อ</v>
      </c>
      <c r="G79" s="18">
        <f>OfficeForms.Table[[#This Row],[วันที่เกิดเหตุ]]</f>
        <v>45925</v>
      </c>
      <c r="H79" s="19" t="str">
        <f>OfficeForms.Table[[#This Row],[ชื่อสัตว์เลี้ยง หรือ HN สัตว์เลี้ยง]]</f>
        <v>ใบบัว 2311</v>
      </c>
      <c r="I79" s="19" t="str">
        <f>OfficeForms.Table[[#This Row],[ชื่อผู้ร้องเรียน]]</f>
        <v>ตูน</v>
      </c>
      <c r="J79" s="19" t="str">
        <f>OfficeForms.Table[[#This Row],[เบอร์โทรศัพท์ผู้ร้องเรียน]]</f>
        <v>0949941670</v>
      </c>
      <c r="K79" s="19" t="str">
        <f>OfficeForms.Table[[#This Row],[หน่วยงานที่ถูกร้องเรียน]]</f>
        <v>NURSE OPD</v>
      </c>
      <c r="L79" s="19" t="s">
        <v>781</v>
      </c>
      <c r="M79" s="19" t="str">
        <f>OfficeForms.Table[[#This Row],[รายละเอียดข้อร้องเรียน]]</f>
        <v>จับแมวใส่คอลล่าระหว่างจะทำการตรวจ u/s แมวค่อนข้างดื้อและดุ เลยทำให้เล็บไปเกี่ยวกับคอลล่า และเล็บหลุด</v>
      </c>
      <c r="N79" s="19" t="str">
        <f>OfficeForms.Table[[#This Row],[การแก้ไขเบื้องต้น (ถ้ามี)]]</f>
        <v>ให้คุณหมอตรวจและทำแผลให้แมว + ขอโทษลูกค้าเบื้องต้น</v>
      </c>
      <c r="O79" s="19" t="str">
        <f>OfficeForms.Table[[#This Row],[รหัสพนักงานผู้รายงาน (เพื่อสอบถามข้อมูลเพิ่มเติม)]]</f>
        <v>0288</v>
      </c>
      <c r="P79" s="19" t="str">
        <f>OfficeForms.Table[[#This Row],[ชื่อพนักงานที่อยู่ในเหตุการณ์]]</f>
        <v>โบว์ปัน + ตูน</v>
      </c>
      <c r="Q79" s="19" t="str">
        <f>OfficeForms.Table[[#This Row],[ต้องคืนเงิน/ Credit note ลูกค้าหรือไม่]]</f>
        <v>ต้อง</v>
      </c>
      <c r="R79" s="19" t="str">
        <f>OfficeForms.Table[[#This Row],[Invoice'#/ Prepayment'#]]</f>
        <v>21250019640</v>
      </c>
      <c r="S79" s="19">
        <f>OfficeForms.Table[[#This Row],[วันที่รับเงิน]]</f>
        <v>45925</v>
      </c>
      <c r="T79" s="19" t="str">
        <f>OfficeForms.Table[[#This Row],[ชำระโดย]]</f>
        <v>Cash</v>
      </c>
      <c r="U79" s="19" t="str">
        <f>OfficeForms.Table[[#This Row],[ต้อง Adjust หรือ คืนเงินลูกค้าทางช่องทางใด]]</f>
        <v>Credit note</v>
      </c>
      <c r="V79" s="19" t="str">
        <f>OfficeForms.Table[[#This Row],[ชื่อรายการที่ต้องคืน และมูลค่า (รวม VAT)]]</f>
        <v>อุปกรณ์ทำแผลและยาฆ่าเชื้อ</v>
      </c>
      <c r="W79" s="19" t="s">
        <v>781</v>
      </c>
      <c r="X79" s="19" t="s">
        <v>1135</v>
      </c>
      <c r="Y79" s="19"/>
    </row>
    <row r="80" spans="1:27" ht="28.5" hidden="1" customHeight="1">
      <c r="A80" s="19">
        <f>OfficeForms.Table[[#This Row],[Id]]</f>
        <v>82</v>
      </c>
      <c r="B80" s="18">
        <f>OfficeForms.Table[[#This Row],[Start time]]</f>
        <v>45929.482928240701</v>
      </c>
      <c r="C80" s="18">
        <f>OfficeForms.Table[[#This Row],[Completion time]]</f>
        <v>45929.486817129597</v>
      </c>
      <c r="D80" s="19" t="str">
        <f>OfficeForms.Table[[#This Row],[Email]]</f>
        <v>anonymous</v>
      </c>
      <c r="E80" s="19">
        <f>OfficeForms.Table[[#This Row],[Name]]</f>
        <v>0</v>
      </c>
      <c r="F80" s="19" t="str">
        <f>OfficeForms.Table[[#This Row],[สาขาที่เข้ารับบริการ]]</f>
        <v>สาขาเพชรเกษม</v>
      </c>
      <c r="G80" s="18">
        <f>OfficeForms.Table[[#This Row],[วันที่เกิดเหตุ]]</f>
        <v>45913</v>
      </c>
      <c r="H80" s="19" t="str">
        <f>OfficeForms.Table[[#This Row],[ชื่อสัตว์เลี้ยง หรือ HN สัตว์เลี้ยง]]</f>
        <v>16007 silver</v>
      </c>
      <c r="I80" s="19" t="str">
        <f>OfficeForms.Table[[#This Row],[ชื่อผู้ร้องเรียน]]</f>
        <v>ชามา</v>
      </c>
      <c r="J80" s="19" t="str">
        <f>OfficeForms.Table[[#This Row],[เบอร์โทรศัพท์ผู้ร้องเรียน]]</f>
        <v>0641746919</v>
      </c>
      <c r="K80" s="19" t="str">
        <f>OfficeForms.Table[[#This Row],[หน่วยงานที่ถูกร้องเรียน]]</f>
        <v>NURSE IPD</v>
      </c>
      <c r="L80" s="19" t="s">
        <v>580</v>
      </c>
      <c r="M80" s="19" t="str">
        <f>OfficeForms.Table[[#This Row],[รายละเอียดข้อร้องเรียน]]</f>
        <v>หมอแพลนหลังผ่าตัดถอนฟันให้ใส่คอลล่าพยาบาลIPDเผลอถอดคอลล่าออกทำให้น้องเกาข้างปากจนเป็นแผล</v>
      </c>
      <c r="N80" s="19" t="str">
        <f>OfficeForms.Table[[#This Row],[การแก้ไขเบื้องต้น (ถ้ามี)]]</f>
        <v>ให้หมอทำแผลและจ่ายยาให้ไม่คิดค่าใช้จ่าย</v>
      </c>
      <c r="O80" s="19" t="str">
        <f>OfficeForms.Table[[#This Row],[รหัสพนักงานผู้รายงาน (เพื่อสอบถามข้อมูลเพิ่มเติม)]]</f>
        <v>0251</v>
      </c>
      <c r="P80" s="19" t="str">
        <f>OfficeForms.Table[[#This Row],[ชื่อพนักงานที่อยู่ในเหตุการณ์]]</f>
        <v>ชามา</v>
      </c>
      <c r="Q80" s="19" t="str">
        <f>OfficeForms.Table[[#This Row],[ต้องคืนเงิน/ Credit note ลูกค้าหรือไม่]]</f>
        <v>ไม่ต้อง</v>
      </c>
      <c r="R80" s="19">
        <f>OfficeForms.Table[[#This Row],[Invoice'#/ Prepayment'#]]</f>
        <v>0</v>
      </c>
      <c r="S80" s="19">
        <f>OfficeForms.Table[[#This Row],[วันที่รับเงิน]]</f>
        <v>0</v>
      </c>
      <c r="T80" s="19">
        <f>OfficeForms.Table[[#This Row],[ชำระโดย]]</f>
        <v>0</v>
      </c>
      <c r="U80" s="19">
        <f>OfficeForms.Table[[#This Row],[ต้อง Adjust หรือ คืนเงินลูกค้าทางช่องทางใด]]</f>
        <v>0</v>
      </c>
      <c r="V80" s="19">
        <f>OfficeForms.Table[[#This Row],[ชื่อรายการที่ต้องคืน และมูลค่า (รวม VAT)]]</f>
        <v>0</v>
      </c>
      <c r="W80" s="19" t="s">
        <v>580</v>
      </c>
      <c r="Y80" s="19"/>
    </row>
    <row r="81" spans="1:25" ht="43.5" hidden="1">
      <c r="A81" s="19">
        <f>OfficeForms.Table[[#This Row],[Id]]</f>
        <v>83</v>
      </c>
      <c r="B81" s="18">
        <f>OfficeForms.Table[[#This Row],[Start time]]</f>
        <v>45932.5617824074</v>
      </c>
      <c r="C81" s="18">
        <f>OfficeForms.Table[[#This Row],[Completion time]]</f>
        <v>45932.564780092602</v>
      </c>
      <c r="D81" s="19" t="str">
        <f>OfficeForms.Table[[#This Row],[Email]]</f>
        <v>anonymous</v>
      </c>
      <c r="E81" s="19">
        <f>OfficeForms.Table[[#This Row],[Name]]</f>
        <v>0</v>
      </c>
      <c r="F81" s="19" t="str">
        <f>OfficeForms.Table[[#This Row],[สาขาที่เข้ารับบริการ]]</f>
        <v>สาขาทองหล่อ</v>
      </c>
      <c r="G81" s="18">
        <f>OfficeForms.Table[[#This Row],[วันที่เกิดเหตุ]]</f>
        <v>45932</v>
      </c>
      <c r="H81" s="19" t="str">
        <f>OfficeForms.Table[[#This Row],[ชื่อสัตว์เลี้ยง หรือ HN สัตว์เลี้ยง]]</f>
        <v>F.ชาดำ (7289) และ F.โซบะ(12724)</v>
      </c>
      <c r="I81" s="19" t="str">
        <f>OfficeForms.Table[[#This Row],[ชื่อผู้ร้องเรียน]]</f>
        <v>คุณมาริสา</v>
      </c>
      <c r="J81" s="19" t="str">
        <f>OfficeForms.Table[[#This Row],[เบอร์โทรศัพท์ผู้ร้องเรียน]]</f>
        <v>0859195389</v>
      </c>
      <c r="K81" s="19" t="str">
        <f>OfficeForms.Table[[#This Row],[หน่วยงานที่ถูกร้องเรียน]]</f>
        <v>FRONT</v>
      </c>
      <c r="L81" s="19" t="s">
        <v>587</v>
      </c>
      <c r="M81" s="19" t="str">
        <f>OfficeForms.Table[[#This Row],[รายละเอียดข้อร้องเรียน]]</f>
        <v>มีแมวมารักษา2ตัว Frontแจ้งว่า มีนัดน้องชาดำ เชิญขึ้นชั้นMได้เลย แต่แม่พามา2ตัวและมีนัดทั้ง2ตัว กับแมวใส่กล่องมา ไม่มีใครช่วยถือเลย เป็นแบบนี้หลายครั้งมากๆแล้วค่ะ</v>
      </c>
      <c r="N81" s="19">
        <f>OfficeForms.Table[[#This Row],[การแก้ไขเบื้องต้น (ถ้ามี)]]</f>
        <v>0</v>
      </c>
      <c r="O81" s="19" t="str">
        <f>OfficeForms.Table[[#This Row],[รหัสพนักงานผู้รายงาน (เพื่อสอบถามข้อมูลเพิ่มเติม)]]</f>
        <v>-</v>
      </c>
      <c r="P81" s="19" t="str">
        <f>OfficeForms.Table[[#This Row],[ชื่อพนักงานที่อยู่ในเหตุการณ์]]</f>
        <v>-</v>
      </c>
      <c r="Q81" s="19" t="str">
        <f>OfficeForms.Table[[#This Row],[ต้องคืนเงิน/ Credit note ลูกค้าหรือไม่]]</f>
        <v>ไม่ต้อง</v>
      </c>
      <c r="R81" s="19">
        <f>OfficeForms.Table[[#This Row],[Invoice'#/ Prepayment'#]]</f>
        <v>0</v>
      </c>
      <c r="S81" s="18">
        <f>OfficeForms.Table[[#This Row],[วันที่รับเงิน]]</f>
        <v>0</v>
      </c>
      <c r="T81" s="19">
        <f>OfficeForms.Table[[#This Row],[ชำระโดย]]</f>
        <v>0</v>
      </c>
      <c r="U81" s="19">
        <f>OfficeForms.Table[[#This Row],[ต้อง Adjust หรือ คืนเงินลูกค้าทางช่องทางใด]]</f>
        <v>0</v>
      </c>
      <c r="V81" s="19">
        <f>OfficeForms.Table[[#This Row],[ชื่อรายการที่ต้องคืน และมูลค่า (รวม VAT)]]</f>
        <v>0</v>
      </c>
      <c r="W81" s="19" t="s">
        <v>587</v>
      </c>
    </row>
    <row r="82" spans="1:25" ht="28.5" hidden="1" customHeight="1">
      <c r="A82" s="19">
        <f>OfficeForms.Table[[#This Row],[Id]]</f>
        <v>84</v>
      </c>
      <c r="B82" s="18">
        <f>OfficeForms.Table[[#This Row],[Start time]]</f>
        <v>45936.940960648099</v>
      </c>
      <c r="C82" s="18">
        <f>OfficeForms.Table[[#This Row],[Completion time]]</f>
        <v>45936.943946759297</v>
      </c>
      <c r="D82" s="19" t="str">
        <f>OfficeForms.Table[[#This Row],[Email]]</f>
        <v>anonymous</v>
      </c>
      <c r="E82" s="19">
        <f>OfficeForms.Table[[#This Row],[Name]]</f>
        <v>0</v>
      </c>
      <c r="F82" s="19" t="str">
        <f>OfficeForms.Table[[#This Row],[สาขาที่เข้ารับบริการ]]</f>
        <v>สาขาทองหล่อ</v>
      </c>
      <c r="G82" s="18">
        <f>OfficeForms.Table[[#This Row],[วันที่เกิดเหตุ]]</f>
        <v>45936</v>
      </c>
      <c r="H82" s="19" t="str">
        <f>OfficeForms.Table[[#This Row],[ชื่อสัตว์เลี้ยง หรือ HN สัตว์เลี้ยง]]</f>
        <v>Cupid 16846</v>
      </c>
      <c r="I82" s="19" t="str">
        <f>OfficeForms.Table[[#This Row],[ชื่อผู้ร้องเรียน]]</f>
        <v>Thanchanakorn</v>
      </c>
      <c r="J82" s="19" t="str">
        <f>OfficeForms.Table[[#This Row],[เบอร์โทรศัพท์ผู้ร้องเรียน]]</f>
        <v>0901199681</v>
      </c>
      <c r="K82" s="19" t="str">
        <f>OfficeForms.Table[[#This Row],[หน่วยงานที่ถูกร้องเรียน]]</f>
        <v>FRONT</v>
      </c>
      <c r="L82" s="19" t="s">
        <v>587</v>
      </c>
      <c r="M82" s="19" t="str">
        <f>OfficeForms.Table[[#This Row],[รายละเอียดข้อร้องเรียน]]</f>
        <v>คืนเงินมัดจำที่เหลือ ยอด290฿</v>
      </c>
      <c r="N82" s="19">
        <f>OfficeForms.Table[[#This Row],[การแก้ไขเบื้องต้น (ถ้ามี)]]</f>
        <v>0</v>
      </c>
      <c r="O82" s="19" t="str">
        <f>OfficeForms.Table[[#This Row],[รหัสพนักงานผู้รายงาน (เพื่อสอบถามข้อมูลเพิ่มเติม)]]</f>
        <v>2038</v>
      </c>
      <c r="P82" s="19" t="str">
        <f>OfficeForms.Table[[#This Row],[ชื่อพนักงานที่อยู่ในเหตุการณ์]]</f>
        <v>Thanchanakorn</v>
      </c>
      <c r="Q82" s="19" t="str">
        <f>OfficeForms.Table[[#This Row],[ต้องคืนเงิน/ Credit note ลูกค้าหรือไม่]]</f>
        <v>ต้อง</v>
      </c>
      <c r="R82" s="19" t="str">
        <f>OfficeForms.Table[[#This Row],[Invoice'#/ Prepayment'#]]</f>
        <v>21250020723</v>
      </c>
      <c r="S82" s="19">
        <f>OfficeForms.Table[[#This Row],[วันที่รับเงิน]]</f>
        <v>45931</v>
      </c>
      <c r="T82" s="19" t="str">
        <f>OfficeForms.Table[[#This Row],[ชำระโดย]]</f>
        <v>QR code</v>
      </c>
      <c r="U82" s="19" t="str">
        <f>OfficeForms.Table[[#This Row],[ต้อง Adjust หรือ คืนเงินลูกค้าทางช่องทางใด]]</f>
        <v>คืนเงินลูกค้า (โอนคืน)</v>
      </c>
      <c r="V82" s="19" t="str">
        <f>OfficeForms.Table[[#This Row],[ชื่อรายการที่ต้องคืน และมูลค่า (รวม VAT)]]</f>
        <v>คืนเงินมัดจำที่เหลือ ยอด290฿ เข้า บช ลูกค้า</v>
      </c>
      <c r="W82" s="19" t="s">
        <v>587</v>
      </c>
      <c r="X82" s="19" t="s">
        <v>1133</v>
      </c>
      <c r="Y82" s="26">
        <v>45929</v>
      </c>
    </row>
    <row r="83" spans="1:25" ht="28.5" hidden="1" customHeight="1">
      <c r="A83" s="19">
        <f>OfficeForms.Table[[#This Row],[Id]]</f>
        <v>85</v>
      </c>
      <c r="B83" s="18">
        <f>OfficeForms.Table[[#This Row],[Start time]]</f>
        <v>45936.946469907401</v>
      </c>
      <c r="C83" s="18">
        <f>OfficeForms.Table[[#This Row],[Completion time]]</f>
        <v>45936.950115740699</v>
      </c>
      <c r="D83" s="19" t="str">
        <f>OfficeForms.Table[[#This Row],[Email]]</f>
        <v>anonymous</v>
      </c>
      <c r="E83" s="19">
        <f>OfficeForms.Table[[#This Row],[Name]]</f>
        <v>0</v>
      </c>
      <c r="F83" s="19" t="str">
        <f>OfficeForms.Table[[#This Row],[สาขาที่เข้ารับบริการ]]</f>
        <v>สาขาทองหล่อ</v>
      </c>
      <c r="G83" s="18">
        <f>OfficeForms.Table[[#This Row],[วันที่เกิดเหตุ]]</f>
        <v>45926</v>
      </c>
      <c r="H83" s="19" t="str">
        <f>OfficeForms.Table[[#This Row],[ชื่อสัตว์เลี้ยง หรือ HN สัตว์เลี้ยง]]</f>
        <v>Siam 13245</v>
      </c>
      <c r="I83" s="19" t="str">
        <f>OfficeForms.Table[[#This Row],[ชื่อผู้ร้องเรียน]]</f>
        <v>Sandy</v>
      </c>
      <c r="J83" s="19" t="str">
        <f>OfficeForms.Table[[#This Row],[เบอร์โทรศัพท์ผู้ร้องเรียน]]</f>
        <v>0996644626</v>
      </c>
      <c r="K83" s="19" t="str">
        <f>OfficeForms.Table[[#This Row],[หน่วยงานที่ถูกร้องเรียน]]</f>
        <v>FRONT</v>
      </c>
      <c r="L83" s="19" t="s">
        <v>710</v>
      </c>
      <c r="M83" s="19" t="str">
        <f>OfficeForms.Table[[#This Row],[รายละเอียดข้อร้องเรียน]]</f>
        <v xml:space="preserve">ถูกคิดค่า Pet car </v>
      </c>
      <c r="N83" s="19">
        <f>OfficeForms.Table[[#This Row],[การแก้ไขเบื้องต้น (ถ้ามี)]]</f>
        <v>0</v>
      </c>
      <c r="O83" s="19" t="str">
        <f>OfficeForms.Table[[#This Row],[รหัสพนักงานผู้รายงาน (เพื่อสอบถามข้อมูลเพิ่มเติม)]]</f>
        <v>2038</v>
      </c>
      <c r="P83" s="19" t="str">
        <f>OfficeForms.Table[[#This Row],[ชื่อพนักงานที่อยู่ในเหตุการณ์]]</f>
        <v>Thanchanakorn</v>
      </c>
      <c r="Q83" s="19" t="str">
        <f>OfficeForms.Table[[#This Row],[ต้องคืนเงิน/ Credit note ลูกค้าหรือไม่]]</f>
        <v>ต้อง</v>
      </c>
      <c r="R83" s="19" t="str">
        <f>OfficeForms.Table[[#This Row],[Invoice'#/ Prepayment'#]]</f>
        <v>21250019720</v>
      </c>
      <c r="S83" s="18">
        <f>OfficeForms.Table[[#This Row],[วันที่รับเงิน]]</f>
        <v>45926</v>
      </c>
      <c r="T83" s="19">
        <f>OfficeForms.Table[[#This Row],[ชำระโดย]]</f>
        <v>0</v>
      </c>
      <c r="U83" s="19" t="str">
        <f>OfficeForms.Table[[#This Row],[ต้อง Adjust หรือ คืนเงินลูกค้าทางช่องทางใด]]</f>
        <v>คืนเงินลูกค้า (เข้า Prepayment)</v>
      </c>
      <c r="V83" s="19" t="str">
        <f>OfficeForms.Table[[#This Row],[ชื่อรายการที่ต้องคืน และมูลค่า (รวม VAT)]]</f>
        <v>นอกสถานที่ Pet Private Car ไม่เกิน 5Km / Pet Limo Serviceไม่เกิน 5km //400฿  คืนเงินเข้าPrepayment ที่ชื่อว่า Deposit ยอดเดิม200฿ ยอดคงเหลือ ณ ปัจจุบัน (6/10) คือ 181 คืนเข้ายอดนี้ครับ</v>
      </c>
      <c r="W83" s="19" t="s">
        <v>710</v>
      </c>
      <c r="X83" s="19" t="s">
        <v>1131</v>
      </c>
    </row>
    <row r="84" spans="1:25" ht="28.5" hidden="1" customHeight="1">
      <c r="A84" s="19">
        <f>OfficeForms.Table[[#This Row],[Id]]</f>
        <v>86</v>
      </c>
      <c r="B84" s="18">
        <f>OfficeForms.Table[[#This Row],[Start time]]</f>
        <v>45937.322418981501</v>
      </c>
      <c r="C84" s="18">
        <f>OfficeForms.Table[[#This Row],[Completion time]]</f>
        <v>45937.328379629602</v>
      </c>
      <c r="D84" s="19" t="str">
        <f>OfficeForms.Table[[#This Row],[Email]]</f>
        <v>anonymous</v>
      </c>
      <c r="E84" s="19">
        <f>OfficeForms.Table[[#This Row],[Name]]</f>
        <v>0</v>
      </c>
      <c r="F84" s="19" t="str">
        <f>OfficeForms.Table[[#This Row],[สาขาที่เข้ารับบริการ]]</f>
        <v>สาขาทองหล่อ</v>
      </c>
      <c r="G84" s="18">
        <f>OfficeForms.Table[[#This Row],[วันที่เกิดเหตุ]]</f>
        <v>45936</v>
      </c>
      <c r="H84" s="19" t="str">
        <f>OfficeForms.Table[[#This Row],[ชื่อสัตว์เลี้ยง หรือ HN สัตว์เลี้ยง]]</f>
        <v>Pablo 4858</v>
      </c>
      <c r="I84" s="19" t="str">
        <f>OfficeForms.Table[[#This Row],[ชื่อผู้ร้องเรียน]]</f>
        <v>Thanchanakorn</v>
      </c>
      <c r="J84" s="19" t="str">
        <f>OfficeForms.Table[[#This Row],[เบอร์โทรศัพท์ผู้ร้องเรียน]]</f>
        <v>0901199681</v>
      </c>
      <c r="K84" s="19" t="str">
        <f>OfficeForms.Table[[#This Row],[หน่วยงานที่ถูกร้องเรียน]]</f>
        <v>FRONT</v>
      </c>
      <c r="L84" s="19" t="s">
        <v>662</v>
      </c>
      <c r="M84" s="19" t="str">
        <f>OfficeForms.Table[[#This Row],[รายละเอียดข้อร้องเรียน]]</f>
        <v>ลูกค้าชำระเงินด้วยยอด 45,846.81 แยกเป็นมัดจำก้อน TL 43,054.01 แยกเป็นมัดจำก้อน LS  2,792.80  แต่ตอนกดทำเป็น Prepaymen ของก้อน TL กดผิดเป็น 43,054.10 ทำให้ยอดหายไป0.09สตางค์</v>
      </c>
      <c r="N84" s="19">
        <f>OfficeForms.Table[[#This Row],[การแก้ไขเบื้องต้น (ถ้ามี)]]</f>
        <v>0</v>
      </c>
      <c r="O84" s="19" t="str">
        <f>OfficeForms.Table[[#This Row],[รหัสพนักงานผู้รายงาน (เพื่อสอบถามข้อมูลเพิ่มเติม)]]</f>
        <v>0238</v>
      </c>
      <c r="P84" s="19" t="str">
        <f>OfficeForms.Table[[#This Row],[ชื่อพนักงานที่อยู่ในเหตุการณ์]]</f>
        <v>Thanchanakorn</v>
      </c>
      <c r="Q84" s="19" t="str">
        <f>OfficeForms.Table[[#This Row],[ต้องคืนเงิน/ Credit note ลูกค้าหรือไม่]]</f>
        <v>ไม่ต้อง</v>
      </c>
      <c r="R84" s="19">
        <f>OfficeForms.Table[[#This Row],[Invoice'#/ Prepayment'#]]</f>
        <v>0</v>
      </c>
      <c r="S84" s="18">
        <f>OfficeForms.Table[[#This Row],[วันที่รับเงิน]]</f>
        <v>0</v>
      </c>
      <c r="T84" s="19">
        <f>OfficeForms.Table[[#This Row],[ชำระโดย]]</f>
        <v>0</v>
      </c>
      <c r="U84" s="19">
        <f>OfficeForms.Table[[#This Row],[ต้อง Adjust หรือ คืนเงินลูกค้าทางช่องทางใด]]</f>
        <v>0</v>
      </c>
      <c r="V84" s="19">
        <f>OfficeForms.Table[[#This Row],[ชื่อรายการที่ต้องคืน และมูลค่า (รวม VAT)]]</f>
        <v>0</v>
      </c>
      <c r="W84" s="19" t="s">
        <v>662</v>
      </c>
      <c r="X84" s="19" t="s">
        <v>1131</v>
      </c>
      <c r="Y84" s="18">
        <v>45936</v>
      </c>
    </row>
    <row r="85" spans="1:25" ht="47.25" hidden="1" customHeight="1">
      <c r="A85" s="19">
        <f>OfficeForms.Table[[#This Row],[Id]]</f>
        <v>87</v>
      </c>
      <c r="B85" s="18">
        <f>OfficeForms.Table[[#This Row],[Start time]]</f>
        <v>45938.479756944398</v>
      </c>
      <c r="C85" s="18">
        <f>OfficeForms.Table[[#This Row],[Completion time]]</f>
        <v>45938.481898148202</v>
      </c>
      <c r="D85" s="19" t="str">
        <f>OfficeForms.Table[[#This Row],[Email]]</f>
        <v>anonymous</v>
      </c>
      <c r="E85" s="19">
        <f>OfficeForms.Table[[#This Row],[Name]]</f>
        <v>0</v>
      </c>
      <c r="F85" s="19" t="str">
        <f>OfficeForms.Table[[#This Row],[สาขาที่เข้ารับบริการ]]</f>
        <v>สาขาทองหล่อ</v>
      </c>
      <c r="G85" s="18">
        <f>OfficeForms.Table[[#This Row],[วันที่เกิดเหตุ]]</f>
        <v>45926</v>
      </c>
      <c r="H85" s="19" t="str">
        <f>OfficeForms.Table[[#This Row],[ชื่อสัตว์เลี้ยง หรือ HN สัตว์เลี้ยง]]</f>
        <v>ซันเดย์ 16599</v>
      </c>
      <c r="I85" s="19" t="str">
        <f>OfficeForms.Table[[#This Row],[ชื่อผู้ร้องเรียน]]</f>
        <v>สามีคุณ นุตธิดา</v>
      </c>
      <c r="J85" s="19" t="str">
        <f>OfficeForms.Table[[#This Row],[เบอร์โทรศัพท์ผู้ร้องเรียน]]</f>
        <v>0982585582</v>
      </c>
      <c r="K85" s="19" t="str">
        <f>OfficeForms.Table[[#This Row],[หน่วยงานที่ถูกร้องเรียน]]</f>
        <v>VET</v>
      </c>
      <c r="L85" s="19" t="s">
        <v>662</v>
      </c>
      <c r="M85" s="19" t="str">
        <f>OfficeForms.Table[[#This Row],[รายละเอียดข้อร้องเรียน]]</f>
        <v>Charge ค่าเลือดซ้ำ</v>
      </c>
      <c r="N85" s="19" t="str">
        <f>OfficeForms.Table[[#This Row],[การแก้ไขเบื้องต้น (ถ้ามี)]]</f>
        <v>โทรแจ้งลูกค้าและขอโทษลูกค้าแล้ว ลูกค้าอยากขอคุยกับหมอเจ้าของไข้เพิ่มเติมเรื่อง treatment ที่ได้ทำไปทั้งหมด</v>
      </c>
      <c r="O85" s="19" t="str">
        <f>OfficeForms.Table[[#This Row],[รหัสพนักงานผู้รายงาน (เพื่อสอบถามข้อมูลเพิ่มเติม)]]</f>
        <v>0305</v>
      </c>
      <c r="P85" s="19" t="str">
        <f>OfficeForms.Table[[#This Row],[ชื่อพนักงานที่อยู่ในเหตุการณ์]]</f>
        <v>์ีนุ้ย</v>
      </c>
      <c r="Q85" s="19" t="str">
        <f>OfficeForms.Table[[#This Row],[ต้องคืนเงิน/ Credit note ลูกค้าหรือไม่]]</f>
        <v>ต้อง</v>
      </c>
      <c r="R85" s="19" t="str">
        <f>OfficeForms.Table[[#This Row],[Invoice'#/ Prepayment'#]]</f>
        <v>21250019871</v>
      </c>
      <c r="S85" s="18">
        <f>OfficeForms.Table[[#This Row],[วันที่รับเงิน]]</f>
        <v>45927</v>
      </c>
      <c r="T85" s="19" t="str">
        <f>OfficeForms.Table[[#This Row],[ชำระโดย]]</f>
        <v>Credit card</v>
      </c>
      <c r="U85" s="19" t="str">
        <f>OfficeForms.Table[[#This Row],[ต้อง Adjust หรือ คืนเงินลูกค้าทางช่องทางใด]]</f>
        <v>คืนเงินลูกค้า (โอนคืน)</v>
      </c>
      <c r="V85" s="19" t="str">
        <f>OfficeForms.Table[[#This Row],[ชื่อรายการที่ต้องคืน และมูลค่า (รวม VAT)]]</f>
        <v xml:space="preserve">	Blood Supply &amp; Cross Matching (Outsourced) / Blood Supply &amp; Cross Matching  ฿22,000.00	</v>
      </c>
      <c r="W85" s="19" t="s">
        <v>662</v>
      </c>
      <c r="X85" s="19" t="s">
        <v>1131</v>
      </c>
      <c r="Y85" s="18">
        <v>45937</v>
      </c>
    </row>
    <row r="86" spans="1:25" ht="87" hidden="1">
      <c r="A86" s="19">
        <f>OfficeForms.Table[[#This Row],[Id]]</f>
        <v>88</v>
      </c>
      <c r="B86" s="18">
        <f>OfficeForms.Table[[#This Row],[Start time]]</f>
        <v>45938.481967592597</v>
      </c>
      <c r="C86" s="18">
        <f>OfficeForms.Table[[#This Row],[Completion time]]</f>
        <v>45938.584895833301</v>
      </c>
      <c r="D86" s="19" t="str">
        <f>OfficeForms.Table[[#This Row],[Email]]</f>
        <v>anonymous</v>
      </c>
      <c r="E86" s="19">
        <f>OfficeForms.Table[[#This Row],[Name]]</f>
        <v>0</v>
      </c>
      <c r="F86" s="19" t="str">
        <f>OfficeForms.Table[[#This Row],[สาขาที่เข้ารับบริการ]]</f>
        <v>สาขาทองหล่อ</v>
      </c>
      <c r="G86" s="18">
        <f>OfficeForms.Table[[#This Row],[วันที่เกิดเหตุ]]</f>
        <v>45937</v>
      </c>
      <c r="H86" s="19" t="str">
        <f>OfficeForms.Table[[#This Row],[ชื่อสัตว์เลี้ยง หรือ HN สัตว์เลี้ยง]]</f>
        <v>ซามูไร 9719</v>
      </c>
      <c r="I86" s="19" t="str">
        <f>OfficeForms.Table[[#This Row],[ชื่อผู้ร้องเรียน]]</f>
        <v xml:space="preserve">้โบนุช ร้องเรียนแทน </v>
      </c>
      <c r="J86" s="19" t="str">
        <f>OfficeForms.Table[[#This Row],[เบอร์โทรศัพท์ผู้ร้องเรียน]]</f>
        <v>..</v>
      </c>
      <c r="K86" s="19" t="str">
        <f>OfficeForms.Table[[#This Row],[หน่วยงานที่ถูกร้องเรียน]]</f>
        <v>NURSE IPD</v>
      </c>
      <c r="L86" s="19" t="s">
        <v>1129</v>
      </c>
      <c r="M86" s="19" t="str">
        <f>OfficeForms.Table[[#This Row],[รายละเอียดข้อร้องเรียน]]</f>
        <v>น้องกินขนนกเข้าไปขณะปล่อยให้เดินเล่นที่โรงแรม</v>
      </c>
      <c r="N86" s="19" t="str">
        <f>OfficeForms.Table[[#This Row],[การแก้ไขเบื้องต้น (ถ้ามี)]]</f>
        <v xml:space="preserve">โทรแจ้งลูกค้า ให้หมอ RM ช่วย Ultrasound </v>
      </c>
      <c r="O86" s="19" t="str">
        <f>OfficeForms.Table[[#This Row],[รหัสพนักงานผู้รายงาน (เพื่อสอบถามข้อมูลเพิ่มเติม)]]</f>
        <v>0305</v>
      </c>
      <c r="P86" s="19" t="str">
        <f>OfficeForms.Table[[#This Row],[ชื่อพนักงานที่อยู่ในเหตุการณ์]]</f>
        <v>โบนุช</v>
      </c>
      <c r="Q86" s="19" t="str">
        <f>OfficeForms.Table[[#This Row],[ต้องคืนเงิน/ Credit note ลูกค้าหรือไม่]]</f>
        <v>ต้อง</v>
      </c>
      <c r="R86" s="19" t="str">
        <f>OfficeForms.Table[[#This Row],[Invoice'#/ Prepayment'#]]</f>
        <v>ยังไม่ได้ Final bill  รบกวนKey  Damage ก่อนลูกค้าเข้ามารับน้อง</v>
      </c>
      <c r="S86" s="18">
        <f>OfficeForms.Table[[#This Row],[วันที่รับเงิน]]</f>
        <v>0</v>
      </c>
      <c r="T86" s="19">
        <f>OfficeForms.Table[[#This Row],[ชำระโดย]]</f>
        <v>0</v>
      </c>
      <c r="U86" s="19" t="str">
        <f>OfficeForms.Table[[#This Row],[ต้อง Adjust หรือ คืนเงินลูกค้าทางช่องทางใด]]</f>
        <v>Credit note</v>
      </c>
      <c r="V86" s="19" t="str">
        <f>OfficeForms.Table[[#This Row],[ชื่อรายการที่ต้องคืน และมูลค่า (รวม VAT)]]</f>
        <v>3 รายการ ค่าแพทย์ตรวจOPD2 หมอ RM 290.00, Ultrasound Afast  RM 100บ. ยาLactulose Syr (HEPATOLAC) - 25 ml 200บาท</v>
      </c>
      <c r="W86" s="19" t="s">
        <v>1129</v>
      </c>
      <c r="X86" s="19" t="s">
        <v>1131</v>
      </c>
      <c r="Y86" s="18">
        <v>45938</v>
      </c>
    </row>
    <row r="87" spans="1:25" ht="389.25" hidden="1" customHeight="1">
      <c r="A87" s="19">
        <f>OfficeForms.Table[[#This Row],[Id]]</f>
        <v>89</v>
      </c>
      <c r="B87" s="18">
        <f>OfficeForms.Table[[#This Row],[Start time]]</f>
        <v>45941.509942129604</v>
      </c>
      <c r="C87" s="18">
        <f>OfficeForms.Table[[#This Row],[Completion time]]</f>
        <v>45941.527592592603</v>
      </c>
      <c r="D87" s="19" t="str">
        <f>OfficeForms.Table[[#This Row],[Email]]</f>
        <v>anonymous</v>
      </c>
      <c r="E87" s="19">
        <f>OfficeForms.Table[[#This Row],[Name]]</f>
        <v>0</v>
      </c>
      <c r="F87" s="19" t="str">
        <f>OfficeForms.Table[[#This Row],[สาขาที่เข้ารับบริการ]]</f>
        <v>สาขาทองหล่อ</v>
      </c>
      <c r="G87" s="18">
        <f>OfficeForms.Table[[#This Row],[วันที่เกิดเหตุ]]</f>
        <v>45923</v>
      </c>
      <c r="H87" s="19" t="str">
        <f>OfficeForms.Table[[#This Row],[ชื่อสัตว์เลี้ยง หรือ HN สัตว์เลี้ยง]]</f>
        <v xml:space="preserve">ไข่ฟู (12650) </v>
      </c>
      <c r="I87" s="19" t="str">
        <f>OfficeForms.Table[[#This Row],[ชื่อผู้ร้องเรียน]]</f>
        <v>Google review  ธรรมนูญ ตันชัชวาล  (9025)</v>
      </c>
      <c r="J87" s="19" t="str">
        <f>OfficeForms.Table[[#This Row],[เบอร์โทรศัพท์ผู้ร้องเรียน]]</f>
        <v xml:space="preserve">+66 84 691 3966 </v>
      </c>
      <c r="K87" s="19" t="str">
        <f>OfficeForms.Table[[#This Row],[หน่วยงานที่ถูกร้องเรียน]]</f>
        <v>VET</v>
      </c>
      <c r="L87" s="19" t="s">
        <v>580</v>
      </c>
      <c r="M87" s="19" t="str">
        <f>OfficeForms.Table[[#This Row],[รายละเอียดข้อร้องเรียน]]</f>
        <v>ผมเพิ่งได้อ่านรีวิวของโรงพยาบาล ซึ่งบางท่านอาจจะเจอประสบการณ์ที่ดี บางท่านอาจจะเจอประสบการณ์ที่เลวร้าย ผมจึงอยากแชร์ประสบการณ์ส่วนตัวและข้อสงสัยบางอย่างเพื่อให้ทางโรงพยาบาลพัฒนาปรับปรุงทั้งด้านระบบงาน บุคลากร -โรงพยาบาลโปรโมทว่า icu มีหมอ พยาบาล ตลอด 24 ชม. ซึ่งควรมีการ “เฝ้าระวังและเฝ้าสังเกตุอาการ ความผิดปกติตลอดเวลา” แต่ที่เจอกับตัว คือ โทรแจ้งตอนน้องไม่ไหวแล้ว และน้องกลับดาวหมาภายใน 10 นาทีหลังจากหมอโทรแจ้ง ทำให้ไปอยู่ในช่วงชีวิตสุดท้ายของน้องไม่ทัน กรณีนี้ก็ไม่ทราบว่า เพิ่งสังเกตุเห็น หรือ ไม่ได้สังเกตุ หรือ สังเกตุแล้วไม่รู้อาการ เพราะผมเข้าใจว่าถ้าได้สังเกตุและรับรู้ถึงความผิดปกติ ควรแจ้งได้เร็วกว่า 10 นาที ก่อนน้องไป -ไม่เข้าใจเรื่องการต่อเวรของหมอเวร ผมไปเยี่ยมน้อง ถามอาการน้อง หมอต้องไปหยิบชาร์ตบนโต๊ะมาไล่เปิดอ่าน ซึ่งในความคิดของผม หมอที่อยู่เวรควรทราบถึงอาการหรือพฤติกรรมที่ควรเฝ้าระวังของน้องแต่ละตัวต่อจากหมอเวรคนก่อน ไม่ใช่มาดูข้อมูลตอนเจ้าของถาม -น้องได้อัลตร้าซาวน์ เอ็กซเรย์ ตรวจเลือด ทำให้รู้ว่าเป็นโรคไตเรื้อรัง และมีปัญหาตับอ่อนและถุงน้ำดี ซึ่งหมอแนะนำให้กินอาหารโรคไต โดยหลังจากนั้นน้องได้มีอาการเกี่ยวกับตับอ่อน ซึ่งหมอ ER แจ้งว่าเกิดจากการกินอาหารโรคไต(ซึ่งมีไขมันสูง) จึงสงสัยว่า ทำไมหมอเจ้าของไข้ถึงไม่คำนึงถึงผลกระทบของอาหารโรคไตที่มีต่อตับอ่อน หรือ หมอ ER เข้าใจผิด -น้องให้อ๊อกซิเจนในตู้ ซึ่งประตูตู้เจาะรูแต่ก็ไม่ได้เอาอะไรมาคลุมประตู ซึ่งทำให้อ๊อกซิเจนรั่วออก พอสอบถามได้ความว่า จะใส่เป็น หน้ากากอ๊อกซิเจนให้น้อง แต่ก็เห็นว่าหน้ากากตั้งอยู่ในตู้เฉยๆ ไม่ได้สวมน้อง (ซึ่งผมท้วงไป 2 ครั้ง ก็ไม่แน่ใจว่าสุดท้ายแล้วได้สวมหน้ากากให้น้องหรือคลุมประตูแล้วหรือไม่) -เป็นโรงพยาบาลสัตว์ที่ใหญ่โต และมีชื่อเสียง แต่การประสานงานต่างๆ เข้าขั้นแย่ หลายครั้งที่โทรไปไม่รับ ไลน์ไปกว่าจะอ่านเป็นชั่วโมง (รีวิวจากท่านอื่นๆ ในอดีต ก็มีในเรื่องนี้ และปัจจุบันก็ยังคงมีปัญหานี้อยู่) ซึ่งในบางครั้งระยะเวลาที่ใช้ในการติดต่อคือเรื่องสำคัญสำหรับชีวิตสัตว์เลี้ยง ขึ้นชื่อว่าโรงพยาบาลควรติดต่อได้รวดเร็ว และมีคนประสานงาน สแตนบายตลอดเวลา -ในรอบนี้ที่น้องพักอยู่ icu ไม่มีการแจ้งอาการใดๆของน้องเลยนอกจาก การป้อนอาหาร การขับถ่าย การให้ยา ซึ่งความเห็นผมควรจะมีการแจ้งรายละเอียดสภาพอาการของน้องด้วย เช่น ตัวสั่นหรือไม่ ความดันเท่าไร มีอาการคงที่ ดีขึ้น หรือแย่ลงยังไง (คิดค่าพยาบาล-หมอward วันนึงเกือบ 1,000 บาท ตรวจอะไรไม่เคยแจ้งมา) -ในความรู้สึกส่วนตัว พยาบาลบางท่าน/หมอบางท่าน ไม่ได้ดูใส่ใจหรือดูเป็นห่วงน้องหมาเลย ประตูหนีบสายน้ำเกลืออยู่ก็ไม่สนใจ ถึงน้ำเกลือยังไหลปกติ แต่เวลาน้องหมาขยับจะโดนสายน้ำเกลือที่ประตูหนีบอยู่รั้งไว้ และเวลาไปเยี่ยมเห็นน้องหมาน้ำตาไหล มีคราบน้ำตา ขี้ตา ก็น่าจะดูแลเช็ดทำความสะอาดให้น้องหน่อย (ในบิลก็คิดค่าดูแลเป็นรายวันอยู่แล้ว) น้องใส่คอลล่าร์ทำให้กินน้ำไม่ได้ก็ปล่อยอยู่อย่างนั้น จนกระทั่งเจ้าของไปเยี่ยมถอดคอลล่าร์ออก น้องกินน้ำเยอะมาก ไม่รู้อดมานานแค่ไหน ป้อนอาหารเสร็จไม่ได้เช็ดตามตัวให้น้องเพราะมีคราบอาหารแห้งเกรอะติดตามขนน้อง ทั้งหมดที่กล่าวมา เป็นความสงสัยส่วนตัวที่เก็บไว้ ไม่กล้าถามหรือพูดตอนที่น้องเข้ารับการรักษา เนื่องจากเกรงว่าถ้าเจ้าหน้าที่ผู้ดูแลไม่พอใจ อาจจะดูแลน้องหมาไม่ดีกว่าเดิม ทั้งนี้สามารถชี้แจง-อธิบาย ได้ในที่นี้เลยครับ เผื่อมีท่านอื่นมาอ่านรีวิว จะได้เข้าใจได้ถูกต้อง และไม่จำเป็นต้องขออภัย ไม่จำเป็นต้องแจ้งว่าจะปรับปรุง แต่ขอให้ "ชี้แจงและลงมือแก้ไขอย่างจริงจัง" เพื่อให้ผู้เข้าใช้บริการได้รับการบริการและประสบการณ์ที่ดี สุดท้ายอยากจะฝากข้อความถึง ผู้บริหาร-บุคลากรของโรงพยาบาล ผมเข้าใจว่าทำธุรกิจต้องหากำไร แต่อยากให้มีการบริการที่ดี คุ้มค่ากับเงินที่ผู้ใช้บริการต้องเสียไป ขอให้คุณหมอและพยาบาลทุกท่านคงจรรยาบรรณ จริยธรรม นำความรู้ที่ศึกษามา มุ่งรักษา "ชีวิต" ของสัตว์ทุกๆตัว เอาใจเขามาใส่ใจเรา ในสายตาท่านสัตว์ตัวนั้นอาจเป็นแค่แมวหมาตัวนึง แต่ในใจของเจ้าของ น้องทุกตัวคือครอบครัว</v>
      </c>
      <c r="N87" s="19" t="str">
        <f>OfficeForms.Table[[#This Row],[การแก้ไขเบื้องต้น (ถ้ามี)]]</f>
        <v>ตูนกับนุ้ยได้คุยกับเจ้าของก่อนที่จะ Discharge กลับไป และทางหมอเก้ที่เป็นหมอเจ้าของไข้ ได้คุยกับเจ้าของหลัง discharge และได้ส่ง Medical record ทั้งหมดให้กับทางเจ้าของค่ะ</v>
      </c>
      <c r="O87" s="19" t="str">
        <f>OfficeForms.Table[[#This Row],[รหัสพนักงานผู้รายงาน (เพื่อสอบถามข้อมูลเพิ่มเติม)]]</f>
        <v>0305</v>
      </c>
      <c r="P87" s="19" t="str">
        <f>OfficeForms.Table[[#This Row],[ชื่อพนักงานที่อยู่ในเหตุการณ์]]</f>
        <v>นุ้ย ตูน หมออีฟ</v>
      </c>
      <c r="Q87" s="19" t="str">
        <f>OfficeForms.Table[[#This Row],[ต้องคืนเงิน/ Credit note ลูกค้าหรือไม่]]</f>
        <v>ไม่ต้อง</v>
      </c>
      <c r="R87" s="19">
        <f>OfficeForms.Table[[#This Row],[Invoice'#/ Prepayment'#]]</f>
        <v>0</v>
      </c>
      <c r="S87" s="18">
        <f>OfficeForms.Table[[#This Row],[วันที่รับเงิน]]</f>
        <v>0</v>
      </c>
      <c r="T87" s="19">
        <f>OfficeForms.Table[[#This Row],[ชำระโดย]]</f>
        <v>0</v>
      </c>
      <c r="U87" s="19">
        <f>OfficeForms.Table[[#This Row],[ต้อง Adjust หรือ คืนเงินลูกค้าทางช่องทางใด]]</f>
        <v>0</v>
      </c>
      <c r="V87" s="19">
        <f>OfficeForms.Table[[#This Row],[ชื่อรายการที่ต้องคืน และมูลค่า (รวม VAT)]]</f>
        <v>0</v>
      </c>
      <c r="W87" s="19" t="s">
        <v>580</v>
      </c>
      <c r="X87" s="19" t="s">
        <v>1131</v>
      </c>
      <c r="Y87" s="18">
        <v>45938</v>
      </c>
    </row>
    <row r="88" spans="1:25" ht="28.5" hidden="1" customHeight="1">
      <c r="A88" s="19">
        <f>OfficeForms.Table[[#This Row],[Id]]</f>
        <v>90</v>
      </c>
      <c r="B88" s="18">
        <f>OfficeForms.Table[[#This Row],[Start time]]</f>
        <v>45941.527638888903</v>
      </c>
      <c r="C88" s="18">
        <f>OfficeForms.Table[[#This Row],[Completion time]]</f>
        <v>45941.542129629597</v>
      </c>
      <c r="D88" s="19" t="str">
        <f>OfficeForms.Table[[#This Row],[Email]]</f>
        <v>anonymous</v>
      </c>
      <c r="E88" s="19">
        <f>OfficeForms.Table[[#This Row],[Name]]</f>
        <v>0</v>
      </c>
      <c r="F88" s="19" t="str">
        <f>OfficeForms.Table[[#This Row],[สาขาที่เข้ารับบริการ]]</f>
        <v>สาขาทองหล่อ</v>
      </c>
      <c r="G88" s="18">
        <f>OfficeForms.Table[[#This Row],[วันที่เกิดเหตุ]]</f>
        <v>45928</v>
      </c>
      <c r="H88" s="19" t="str">
        <f>OfficeForms.Table[[#This Row],[ชื่อสัตว์เลี้ยง หรือ HN สัตว์เลี้ยง]]</f>
        <v>ละมุนใจ (15941)</v>
      </c>
      <c r="I88" s="19" t="str">
        <f>OfficeForms.Table[[#This Row],[ชื่อผู้ร้องเรียน]]</f>
        <v>Google review -  กิรดา จิตงามสุจริต  (11345)</v>
      </c>
      <c r="J88" s="19" t="str">
        <f>OfficeForms.Table[[#This Row],[เบอร์โทรศัพท์ผู้ร้องเรียน]]</f>
        <v xml:space="preserve">+66 62 892 3556 </v>
      </c>
      <c r="K88" s="19" t="str">
        <f>OfficeForms.Table[[#This Row],[หน่วยงานที่ถูกร้องเรียน]]</f>
        <v>FRONT</v>
      </c>
      <c r="L88" s="19" t="s">
        <v>1126</v>
      </c>
      <c r="M88" s="19" t="str">
        <f>OfficeForms.Table[[#This Row],[รายละเอียดข้อร้องเรียน]]</f>
        <v>ผิดหวังกับการใช้บริการที่โรงพยาบาลสัตว์แห่งนี้ ไม่มีความรับผิดชอบ ไม่สื่อสารกับเจ้าของสัตว์เลี้ยง และ ไม่เห็นความสำคัญของชีวิตสัตว์เลี้ยง  วันอาทิตย์ที่ 28 กันยา ได้พาน้องแมวมารักษาเนื่องจากกลืนเศษพลาสติกเข้าไป คุณหมอได้ให้ยาอาเจียนผ่านทางเส้นเลือด ซึ่งได้ผลดีและเสร็จสิ้นประมาณเวลา 13:00 น. เนื่องจากน้องมีความเครียดและกลัวมาก จึงปัสสาวะรดตัวเองในกระเป๋าแมว เราจึงถามพยาบาล เรื่องการอาบน้ำ และได้รับแจ้งว่ามีคิวอาบน้ำเวลา 15:00 น. เลยตัดสินใจให้น้องพักที่โรงแรมของโรงพยาบาลเพื่อรออาบน้ำ น้องยังมีผ้าพันแผลกันเลือดอยู่ที่ขา เราตั้งใจจะถอดเอง แต่พยาบาลโรงแรมแจ้งว่าจะเป็นคนจัดการให้เอง  เมื่อถึงเวลารับแมวตามที่นัดไว้ตอน 16:30 น. ที่ห้อง grooming กลับได้รับแจ้งว่าน้องยังไม่ได้อาบน้ำ และอ้างว่าเป็น “คิวแทรก” โดยที่ไม่เคยมีการแจ้งล่วงหน้าหรืออัปเดตสถานะใด ๆ ทั้งสิ้น ไม่มีไลน์ ไม่ติดต่อมาเลยว่าจะล่าช้า ขณะนั้นน้องแมวอยู่ในสภาพตัวเปียกจากฉี่ มีผ้าพันแผล เพราะพยาบาลที่รับปากว่าจะถอดให้ ไม่ได้ถอดผ้าพันแผลให้น้องเลยตั้งแต่เวลา 13:00 น. ถึง 16:30 น.ที่เราขึ้นไปดูน้องเอง เราต้องถอดผ้าพันแผลให้น้องเอง ที่แย่กว่านั้นคือ น้องไม่ได้กินข้าวเลยตั้งแต่เวลา 13:00 น. เพราะเรากะว่าจะรับน้องตอน 16:30 น. แล้วพากลับบ้านไปกิน แต่พอเจอปัญหาเรื่องความล่าช้า และไม่มีใครแจ้งให้ทราบล่วงหน้า เราจึงไม่ได้เตรียมอาหารมาด้วย และในห้องรอก็ไม่มีทรายแมวให้น้องขับถ่ายเลย น้องจึงไม่ได้ขับถ่ายตั้งแต่บ่ายโมง  น้องแมวดูเครียดและไม่สบายตัวมาก เราขอให้น้องได้อาบน้ำโดยเร็วที่สุด แต่ก็ไม่ได้รับการดูแลหรือการสื่อสารใด ๆ จากทางพนักงานเราต้องนั่งรอ และเป็นฝ่ายติดตามเอง จนน้องได้อาบน้ำจริงในเวลา 17:30 น.  เมื่อวานรู้สึกสงสารน้องมากๆ ไม่อยากกลับไปโรงพยาบาลนี่อีก รู้สึกได้เลยว่าเค้าไม่ได้แคร์หรือสนใจน้องแมวของเราจริงๆ โฆษณาตัวเองว่าเป็นโรงพยาบาลพรีเพี่ยมแต่ละเลยกับสัตว์เลี้ยง ไม่อยากใครให้ได้มาเจอประสบการณ์แย่ๆแบบนี้  อัพเดท: อีเมลลไปหาผู้จัดการตามอีเมลลที่ได้รับมา ส่งไปวันอาทิตย์เพื่อขอคำขอโทษจากโรงพยาบาลภายในวันพุธที่ 1 ตุลา วันนี้วันที่ 1 ตุลาไม่ได้รับอีเมลล จึงเขียนอีเมลลไปอีก แต่โดนbloc จากโรงพยาบาล</v>
      </c>
      <c r="N88" s="19" t="str">
        <f>OfficeForms.Table[[#This Row],[การแก้ไขเบื้องต้น (ถ้ามี)]]</f>
        <v>โทรขอโทษลูกค้า และ ได้ทำการคืนเงินค่าบริการอาบน้ำ</v>
      </c>
      <c r="O88" s="19" t="str">
        <f>OfficeForms.Table[[#This Row],[รหัสพนักงานผู้รายงาน (เพื่อสอบถามข้อมูลเพิ่มเติม)]]</f>
        <v>0305</v>
      </c>
      <c r="P88" s="19" t="str">
        <f>OfficeForms.Table[[#This Row],[ชื่อพนักงานที่อยู่ในเหตุการณ์]]</f>
        <v>โดนัท</v>
      </c>
      <c r="Q88" s="19" t="str">
        <f>OfficeForms.Table[[#This Row],[ต้องคืนเงิน/ Credit note ลูกค้าหรือไม่]]</f>
        <v>ต้อง</v>
      </c>
      <c r="R88" s="19" t="str">
        <f>OfficeForms.Table[[#This Row],[Invoice'#/ Prepayment'#]]</f>
        <v>21250019961</v>
      </c>
      <c r="S88" s="18">
        <f>OfficeForms.Table[[#This Row],[วันที่รับเงิน]]</f>
        <v>45928</v>
      </c>
      <c r="T88" s="19" t="str">
        <f>OfficeForms.Table[[#This Row],[ชำระโดย]]</f>
        <v>QR code</v>
      </c>
      <c r="U88" s="19" t="str">
        <f>OfficeForms.Table[[#This Row],[ต้อง Adjust หรือ คืนเงินลูกค้าทางช่องทางใด]]</f>
        <v>คืนเงินลูกค้า (โอนคืน)</v>
      </c>
      <c r="V88" s="19" t="str">
        <f>OfficeForms.Table[[#This Row],[ชื่อรายการที่ต้องคืน และมูลค่า (รวม VAT)]]</f>
        <v>ค่าอาบน้ำ ค่ารถ Grab</v>
      </c>
      <c r="W88" s="19" t="s">
        <v>1126</v>
      </c>
      <c r="X88" s="19" t="s">
        <v>1135</v>
      </c>
    </row>
    <row r="89" spans="1:25" ht="28.5" hidden="1" customHeight="1">
      <c r="A89" s="19">
        <f>OfficeForms.Table[[#This Row],[Id]]</f>
        <v>91</v>
      </c>
      <c r="B89" s="18">
        <f>OfficeForms.Table[[#This Row],[Start time]]</f>
        <v>45941.542384259301</v>
      </c>
      <c r="C89" s="18">
        <f>OfficeForms.Table[[#This Row],[Completion time]]</f>
        <v>45941.544502314799</v>
      </c>
      <c r="D89" s="19" t="str">
        <f>OfficeForms.Table[[#This Row],[Email]]</f>
        <v>anonymous</v>
      </c>
      <c r="E89" s="19">
        <f>OfficeForms.Table[[#This Row],[Name]]</f>
        <v>0</v>
      </c>
      <c r="F89" s="19" t="str">
        <f>OfficeForms.Table[[#This Row],[สาขาที่เข้ารับบริการ]]</f>
        <v>สาขาทองหล่อ</v>
      </c>
      <c r="G89" s="18">
        <f>OfficeForms.Table[[#This Row],[วันที่เกิดเหตุ]]</f>
        <v>45870</v>
      </c>
      <c r="H89" s="19" t="str">
        <f>OfficeForms.Table[[#This Row],[ชื่อสัตว์เลี้ยง หรือ HN สัตว์เลี้ยง]]</f>
        <v>ไม่ทราบ</v>
      </c>
      <c r="I89" s="19" t="str">
        <f>OfficeForms.Table[[#This Row],[ชื่อผู้ร้องเรียน]]</f>
        <v>Google review Chanodom Phongsitthinon</v>
      </c>
      <c r="J89" s="19" t="str">
        <f>OfficeForms.Table[[#This Row],[เบอร์โทรศัพท์ผู้ร้องเรียน]]</f>
        <v>-</v>
      </c>
      <c r="K89" s="19" t="str">
        <f>OfficeForms.Table[[#This Row],[หน่วยงานที่ถูกร้องเรียน]]</f>
        <v>VET</v>
      </c>
      <c r="L89" s="19" t="s">
        <v>576</v>
      </c>
      <c r="M89" s="19" t="str">
        <f>OfficeForms.Table[[#This Row],[รายละเอียดข้อร้องเรียน]]</f>
        <v>แย่ทุกแผนก ไม่แนะนำครับ 1.ลูกหมาอาการไม่ดีแต่หมอไม่ปฐมพยาบาลหรือหาทางช่วยเหลือเบื้องต้น มั่วแต่จะขอให้ตรวจทุกอย่างเพื่อจะได้ให้ยอดบิลสูง มีโปรโมชั่นไม่แจ้ง พอถามบอกเดียวค่อยว่ากัน อย่างนู้นอย่างนี้สรุป แอดมินบอกใช่โปรโมชั่นไม่ได้เพราะการตรวจไม่มีในโปร งง เหมือนคนโง่ อาจจะโง่จริงเลยโดนไปแบบนี่ 2.หมอดุเหมือนไม่ได้อยากจะจับน้องหมาเรา สังเกตได้ เป็นหมอสัตว์โดยเฉพาะโรงพยาบาลของน้องหมากับแมวถ้าไม่ชอบน้องหมาหรือ น้องแมวอย่างใดอย่างนึง ควรพิจารณานะครับว่าควรทำต่อไปไหม 3.ให้ออกซิเจนน้อง คิด1 ชั่วโมงแต่ให้จริง ไม่ถึง ครึ่งชั่วโมง แต่คิดราคา 1 ชั่วโมง สอบถามแอดมิน อ่านข้อความแต่ไม่ตอบ อีกสองวันต่อมาถามไปอีกอ่านแต่กว่าจะตอบนานมาก บอกเดียวถามหาข้อมูลให้ งง 4.บอกยกเลิกนัด follow up ทั้งหมด เพราะคงไม่กลับไปใช่บริการอีก แต่ก็ยังคงโทรมาทั่งก่อนวันนัดและวันนัด ทำงานไม่มีการสื่อสารกันเลยเหรอครับ  ผิดหวังครับ เห็นโฆษณาอย่างดีสถานดุดีแต่ไม่คิดเลยว่าจะเป็นแบบนี่ ถ้าคิดแต่แค่ต้องการรายได้หรือบิลสูง ๆ จากลูกค้า ถือว่าผิดหวังครับ ผม ยอมจ่ายนะถ้าบริการดีและดูแลน้องหมาผมดีกว่านี่ คิดดีดีก่อนนะครับจะได้ไม่ผิดหวังเหมือนผม</v>
      </c>
      <c r="N89" s="19">
        <f>OfficeForms.Table[[#This Row],[การแก้ไขเบื้องต้น (ถ้ามี)]]</f>
        <v>0</v>
      </c>
      <c r="O89" s="19" t="str">
        <f>OfficeForms.Table[[#This Row],[รหัสพนักงานผู้รายงาน (เพื่อสอบถามข้อมูลเพิ่มเติม)]]</f>
        <v>0305</v>
      </c>
      <c r="P89" s="19" t="str">
        <f>OfficeForms.Table[[#This Row],[ชื่อพนักงานที่อยู่ในเหตุการณ์]]</f>
        <v>ไม่ทราบ</v>
      </c>
      <c r="Q89" s="19" t="str">
        <f>OfficeForms.Table[[#This Row],[ต้องคืนเงิน/ Credit note ลูกค้าหรือไม่]]</f>
        <v>ไม่ต้อง</v>
      </c>
      <c r="R89" s="19">
        <f>OfficeForms.Table[[#This Row],[Invoice'#/ Prepayment'#]]</f>
        <v>0</v>
      </c>
      <c r="S89" s="18">
        <f>OfficeForms.Table[[#This Row],[วันที่รับเงิน]]</f>
        <v>0</v>
      </c>
      <c r="T89" s="19">
        <f>OfficeForms.Table[[#This Row],[ชำระโดย]]</f>
        <v>0</v>
      </c>
      <c r="U89" s="19">
        <f>OfficeForms.Table[[#This Row],[ต้อง Adjust หรือ คืนเงินลูกค้าทางช่องทางใด]]</f>
        <v>0</v>
      </c>
      <c r="V89" s="19">
        <f>OfficeForms.Table[[#This Row],[ชื่อรายการที่ต้องคืน และมูลค่า (รวม VAT)]]</f>
        <v>0</v>
      </c>
      <c r="W89" s="19" t="s">
        <v>576</v>
      </c>
      <c r="X89" s="19" t="s">
        <v>1133</v>
      </c>
      <c r="Y89" s="18">
        <v>45929</v>
      </c>
    </row>
    <row r="90" spans="1:25" ht="60" hidden="1" customHeight="1">
      <c r="A90" s="19">
        <f>OfficeForms.Table[[#This Row],[Id]]</f>
        <v>92</v>
      </c>
      <c r="B90" s="18">
        <f>OfficeForms.Table[[#This Row],[Start time]]</f>
        <v>45941.545277777797</v>
      </c>
      <c r="C90" s="18">
        <f>OfficeForms.Table[[#This Row],[Completion time]]</f>
        <v>45941.546597222201</v>
      </c>
      <c r="D90" s="19" t="str">
        <f>OfficeForms.Table[[#This Row],[Email]]</f>
        <v>anonymous</v>
      </c>
      <c r="E90" s="19">
        <f>OfficeForms.Table[[#This Row],[Name]]</f>
        <v>0</v>
      </c>
      <c r="F90" s="19" t="str">
        <f>OfficeForms.Table[[#This Row],[สาขาที่เข้ารับบริการ]]</f>
        <v>สาขาทองหล่อ</v>
      </c>
      <c r="G90" s="18">
        <f>OfficeForms.Table[[#This Row],[วันที่เกิดเหตุ]]</f>
        <v>45809</v>
      </c>
      <c r="H90" s="19" t="str">
        <f>OfficeForms.Table[[#This Row],[ชื่อสัตว์เลี้ยง หรือ HN สัตว์เลี้ยง]]</f>
        <v>ไม่ทราบ</v>
      </c>
      <c r="I90" s="19" t="str">
        <f>OfficeForms.Table[[#This Row],[ชื่อผู้ร้องเรียน]]</f>
        <v>Google review- mk19</v>
      </c>
      <c r="J90" s="19" t="str">
        <f>OfficeForms.Table[[#This Row],[เบอร์โทรศัพท์ผู้ร้องเรียน]]</f>
        <v>-</v>
      </c>
      <c r="K90" s="19" t="str">
        <f>OfficeForms.Table[[#This Row],[หน่วยงานที่ถูกร้องเรียน]]</f>
        <v>CASHIER</v>
      </c>
      <c r="L90" s="19" t="s">
        <v>576</v>
      </c>
      <c r="M90" s="19" t="str">
        <f>OfficeForms.Table[[#This Row],[รายละเอียดข้อร้องเรียน]]</f>
        <v>ก่อนวันพาน้องหมาไปทำหมัน เราไลน์สอบถามข้อมูลกับทางโรงพยาบาลก่อน ได้รับแจ้งว่าค่าทำหมัน 8,500 บาท ไม่มี บวกเพิ่ม (แต่ยังไม่รวมค่ายา และคอลล่ากันเลีย) ตอนแรกก็งงว่า “ไม่มีบวกเพิ่ม” แล้วทำไมยังมีค่ายากับค่าคอลล่า? แต่ก็ไม่ได้ติดใจ เพราะมีการแจ้งไว้ล่วงหน้า  ต่อมาเลยสอบถามเพิ่มว่า ถ้าจะขูดหินปูน ต้องเพิ่มเท่าไหร่? ทางไลน์ตอบกลับมาว่า 3,000 - 4,000 บาท เราโอเคกับราคานี้ จึงตัดสินใจพาน้องไปทำหมันที่นี่ เพราะคิดว่าค่าใช้จ่ายจะอยู่ที่ประมาณ 8,500 + 3,000-4,000 + ค่ายา + ค่าคอลล่า  วันที่เข้าไปทำหมัน วันแรกเจอคุณหมอ เจาะเลือดเสร็จ เราถามหมออีกครั้งว่า ค่าขูดหินปูนเท่าไร? หมอบอก 5,000 - 6,000 บาท เราเลยแย้งไปว่า ตอนสอบถามในไลน์บอก 3,000 - 4,000 บาท หมอก็บอกว่าอาจจะ “จำผิด”  หลังจากทำทุกอย่างเสร็จ ไปที่ฝ่ายการเงิน เราตัดสินใจถามอีกครั้ง ก็ได้รับคำตอบว่า 5,000 - 6,000 บาท เหมือนกัน เราก็งงว่าสรุปตกลงราคาเท่าไรกันแน่? ทำไมแจ้งไม่ตรงกัน? ต่างกันตั้ง 2,000 บาท จริงๆ เราจ่ายไหว แต่รู้สึกไม่แฟร์ เหมือนโดนเอาเปรียบ แจ้งราคาหนึ่ง คิดอีกอย่างหนึ่ง  เท่านั้นยังไม่พอ มีการบวกค่าบริการอีก 160 บาท พอถามไปก็บอกว่าเป็น “ค่าอ่านฟิล์ม” เรายิ่งงง เพราะตอนแรกบอกว่าไม่มีบวกเพิ่ม แล้วนี่คืออะไรอีก? สรุปคือ ค่าทำหมันที่บอกว่า “ไม่มีบวกเพิ่ม” จริงๆ แล้ว มีบวก หลายรายการ ไปอ่านรีวิวของคนอื่นก็พบว่ามีประสบการณ์คล้ายกัน  อยากให้โรงพยาบาล ปรับปรุงการสื่อสาร และทำให้ทุกอย่างมันชัดเจน</v>
      </c>
      <c r="N90" s="19" t="str">
        <f>OfficeForms.Table[[#This Row],[การแก้ไขเบื้องต้น (ถ้ามี)]]</f>
        <v>-</v>
      </c>
      <c r="O90" s="19" t="str">
        <f>OfficeForms.Table[[#This Row],[รหัสพนักงานผู้รายงาน (เพื่อสอบถามข้อมูลเพิ่มเติม)]]</f>
        <v>0305</v>
      </c>
      <c r="P90" s="19" t="str">
        <f>OfficeForms.Table[[#This Row],[ชื่อพนักงานที่อยู่ในเหตุการณ์]]</f>
        <v>-</v>
      </c>
      <c r="Q90" s="19" t="str">
        <f>OfficeForms.Table[[#This Row],[ต้องคืนเงิน/ Credit note ลูกค้าหรือไม่]]</f>
        <v>ไม่ต้อง</v>
      </c>
      <c r="R90" s="19">
        <f>OfficeForms.Table[[#This Row],[Invoice'#/ Prepayment'#]]</f>
        <v>0</v>
      </c>
      <c r="S90" s="18">
        <f>OfficeForms.Table[[#This Row],[วันที่รับเงิน]]</f>
        <v>0</v>
      </c>
      <c r="T90" s="19">
        <f>OfficeForms.Table[[#This Row],[ชำระโดย]]</f>
        <v>0</v>
      </c>
      <c r="U90" s="19">
        <f>OfficeForms.Table[[#This Row],[ต้อง Adjust หรือ คืนเงินลูกค้าทางช่องทางใด]]</f>
        <v>0</v>
      </c>
      <c r="V90" s="19">
        <f>OfficeForms.Table[[#This Row],[ชื่อรายการที่ต้องคืน และมูลค่า (รวม VAT)]]</f>
        <v>0</v>
      </c>
      <c r="W90" s="19" t="s">
        <v>576</v>
      </c>
      <c r="X90" s="19" t="s">
        <v>1125</v>
      </c>
    </row>
    <row r="91" spans="1:25" ht="28.5" hidden="1" customHeight="1">
      <c r="A91" s="19">
        <f>OfficeForms.Table[[#This Row],[Id]]</f>
        <v>93</v>
      </c>
      <c r="B91" s="18">
        <f>OfficeForms.Table[[#This Row],[Start time]]</f>
        <v>45943.471585648098</v>
      </c>
      <c r="C91" s="18">
        <f>OfficeForms.Table[[#This Row],[Completion time]]</f>
        <v>45943.484664351898</v>
      </c>
      <c r="D91" s="19" t="str">
        <f>OfficeForms.Table[[#This Row],[Email]]</f>
        <v>anonymous</v>
      </c>
      <c r="E91" s="19">
        <f>OfficeForms.Table[[#This Row],[Name]]</f>
        <v>0</v>
      </c>
      <c r="F91" s="19" t="str">
        <f>OfficeForms.Table[[#This Row],[สาขาที่เข้ารับบริการ]]</f>
        <v>สาขาหลังสวน</v>
      </c>
      <c r="G91" s="18">
        <f>OfficeForms.Table[[#This Row],[วันที่เกิดเหตุ]]</f>
        <v>45940</v>
      </c>
      <c r="H91" s="19" t="str">
        <f>OfficeForms.Table[[#This Row],[ชื่อสัตว์เลี้ยง หรือ HN สัตว์เลี้ยง]]</f>
        <v>ต้มต้ม17180</v>
      </c>
      <c r="I91" s="19" t="str">
        <f>OfficeForms.Table[[#This Row],[ชื่อผู้ร้องเรียน]]</f>
        <v>คุณกชลี สุรียะกำพล</v>
      </c>
      <c r="J91" s="19" t="str">
        <f>OfficeForms.Table[[#This Row],[เบอร์โทรศัพท์ผู้ร้องเรียน]]</f>
        <v>0813720017</v>
      </c>
      <c r="K91" s="19" t="str">
        <f>OfficeForms.Table[[#This Row],[หน่วยงานที่ถูกร้องเรียน]]</f>
        <v>NURSE IPD</v>
      </c>
      <c r="L91" s="19" t="s">
        <v>1126</v>
      </c>
      <c r="M91" s="19" t="str">
        <f>OfficeForms.Table[[#This Row],[รายละเอียดข้อร้องเรียน]]</f>
        <v>มาฝากdaycare ตอบรับกลับสุนัขตัวเปียก มีกลิ่นเหม็น</v>
      </c>
      <c r="N91" s="19" t="str">
        <f>OfficeForms.Table[[#This Row],[การแก้ไขเบื้องต้น (ถ้ามี)]]</f>
        <v xml:space="preserve">ไลน์ไปรับเรื่อง ขอโทษ ลค แจ้งขอโอกาสปรับปรุง(โทรไป3ครั้ง ลค ไม่รับสาย) เรียกอบรม พนง ที่เกี่ยวข้อง </v>
      </c>
      <c r="O91" s="19" t="str">
        <f>OfficeForms.Table[[#This Row],[รหัสพนักงานผู้รายงาน (เพื่อสอบถามข้อมูลเพิ่มเติม)]]</f>
        <v>0226</v>
      </c>
      <c r="P91" s="19" t="str">
        <f>OfficeForms.Table[[#This Row],[ชื่อพนักงานที่อยู่ในเหตุการณ์]]</f>
        <v>ปภิชญา</v>
      </c>
      <c r="Q91" s="19" t="str">
        <f>OfficeForms.Table[[#This Row],[ต้องคืนเงิน/ Credit note ลูกค้าหรือไม่]]</f>
        <v>ไม่ต้อง</v>
      </c>
      <c r="R91" s="19">
        <f>OfficeForms.Table[[#This Row],[Invoice'#/ Prepayment'#]]</f>
        <v>0</v>
      </c>
      <c r="S91" s="18">
        <f>OfficeForms.Table[[#This Row],[วันที่รับเงิน]]</f>
        <v>0</v>
      </c>
      <c r="T91" s="19">
        <f>OfficeForms.Table[[#This Row],[ชำระโดย]]</f>
        <v>0</v>
      </c>
      <c r="U91" s="19">
        <f>OfficeForms.Table[[#This Row],[ต้อง Adjust หรือ คืนเงินลูกค้าทางช่องทางใด]]</f>
        <v>0</v>
      </c>
      <c r="V91" s="19">
        <f>OfficeForms.Table[[#This Row],[ชื่อรายการที่ต้องคืน และมูลค่า (รวม VAT)]]</f>
        <v>0</v>
      </c>
      <c r="W91" s="19" t="s">
        <v>1126</v>
      </c>
      <c r="X91" s="19" t="s">
        <v>1125</v>
      </c>
    </row>
    <row r="92" spans="1:25" ht="28.5" hidden="1" customHeight="1">
      <c r="A92" s="19">
        <f>OfficeForms.Table[[#This Row],[Id]]</f>
        <v>94</v>
      </c>
      <c r="B92" s="18">
        <f>OfficeForms.Table[[#This Row],[Start time]]</f>
        <v>45944.558657407397</v>
      </c>
      <c r="C92" s="18">
        <f>OfficeForms.Table[[#This Row],[Completion time]]</f>
        <v>45944.560902777797</v>
      </c>
      <c r="D92" s="19" t="str">
        <f>OfficeForms.Table[[#This Row],[Email]]</f>
        <v>anonymous</v>
      </c>
      <c r="E92" s="19">
        <f>OfficeForms.Table[[#This Row],[Name]]</f>
        <v>0</v>
      </c>
      <c r="F92" s="19" t="str">
        <f>OfficeForms.Table[[#This Row],[สาขาที่เข้ารับบริการ]]</f>
        <v>สาขาทองหล่อ</v>
      </c>
      <c r="G92" s="18">
        <f>OfficeForms.Table[[#This Row],[วันที่เกิดเหตุ]]</f>
        <v>45942</v>
      </c>
      <c r="H92" s="19" t="str">
        <f>OfficeForms.Table[[#This Row],[ชื่อสัตว์เลี้ยง หรือ HN สัตว์เลี้ยง]]</f>
        <v>Coco 8991</v>
      </c>
      <c r="I92" s="19" t="str">
        <f>OfficeForms.Table[[#This Row],[ชื่อผู้ร้องเรียน]]</f>
        <v>ตูน</v>
      </c>
      <c r="J92" s="19" t="str">
        <f>OfficeForms.Table[[#This Row],[เบอร์โทรศัพท์ผู้ร้องเรียน]]</f>
        <v>0949941670</v>
      </c>
      <c r="K92" s="19" t="str">
        <f>OfficeForms.Table[[#This Row],[หน่วยงานที่ถูกร้องเรียน]]</f>
        <v>NURSE IPD</v>
      </c>
      <c r="L92" s="19" t="s">
        <v>580</v>
      </c>
      <c r="M92" s="19" t="str">
        <f>OfficeForms.Table[[#This Row],[รายละเอียดข้อร้องเรียน]]</f>
        <v>น้องหมาแทะสิ่งแปลกปลอม(สปริงล็อกคอลล่า)</v>
      </c>
      <c r="N92" s="19" t="str">
        <f>OfficeForms.Table[[#This Row],[การแก้ไขเบื้องต้น (ถ้ามี)]]</f>
        <v xml:space="preserve">แจ้งหมอในเวรและหมอเจ้าไข้ กระตุ้นอาเจียนและทำ endo </v>
      </c>
      <c r="O92" s="19" t="str">
        <f>OfficeForms.Table[[#This Row],[รหัสพนักงานผู้รายงาน (เพื่อสอบถามข้อมูลเพิ่มเติม)]]</f>
        <v>0288</v>
      </c>
      <c r="P92" s="19" t="str">
        <f>OfficeForms.Table[[#This Row],[ชื่อพนักงานที่อยู่ในเหตุการณ์]]</f>
        <v>ตูน/ฝนรุ่ง/ขวัญ/แอน</v>
      </c>
      <c r="Q92" s="19" t="str">
        <f>OfficeForms.Table[[#This Row],[ต้องคืนเงิน/ Credit note ลูกค้าหรือไม่]]</f>
        <v>ต้อง</v>
      </c>
      <c r="R92" s="19">
        <f>OfficeForms.Table[[#This Row],[Invoice'#/ Prepayment'#]]</f>
        <v>0</v>
      </c>
      <c r="S92" s="19">
        <f>OfficeForms.Table[[#This Row],[วันที่รับเงิน]]</f>
        <v>0</v>
      </c>
      <c r="T92" s="19" t="str">
        <f>OfficeForms.Table[[#This Row],[ชำระโดย]]</f>
        <v>Cash</v>
      </c>
      <c r="U92" s="19" t="str">
        <f>OfficeForms.Table[[#This Row],[ต้อง Adjust หรือ คืนเงินลูกค้าทางช่องทางใด]]</f>
        <v>ยกเลิก Invoices</v>
      </c>
      <c r="V92" s="19">
        <f>OfficeForms.Table[[#This Row],[ชื่อรายการที่ต้องคืน และมูลค่า (รวม VAT)]]</f>
        <v>0</v>
      </c>
      <c r="W92" s="19" t="s">
        <v>580</v>
      </c>
      <c r="Y92" s="19"/>
    </row>
    <row r="93" spans="1:25" ht="28.5" hidden="1" customHeight="1">
      <c r="A93" s="19">
        <f>OfficeForms.Table[[#This Row],[Id]]</f>
        <v>95</v>
      </c>
      <c r="B93" s="18">
        <f>OfficeForms.Table[[#This Row],[Start time]]</f>
        <v>45944.637303240699</v>
      </c>
      <c r="C93" s="18">
        <f>OfficeForms.Table[[#This Row],[Completion time]]</f>
        <v>45944.644745370402</v>
      </c>
      <c r="D93" s="19" t="str">
        <f>OfficeForms.Table[[#This Row],[Email]]</f>
        <v>anonymous</v>
      </c>
      <c r="E93" s="19">
        <f>OfficeForms.Table[[#This Row],[Name]]</f>
        <v>0</v>
      </c>
      <c r="F93" s="19" t="str">
        <f>OfficeForms.Table[[#This Row],[สาขาที่เข้ารับบริการ]]</f>
        <v>สาขาทองหล่อ</v>
      </c>
      <c r="G93" s="18">
        <f>OfficeForms.Table[[#This Row],[วันที่เกิดเหตุ]]</f>
        <v>45940</v>
      </c>
      <c r="H93" s="19" t="str">
        <f>OfficeForms.Table[[#This Row],[ชื่อสัตว์เลี้ยง หรือ HN สัตว์เลี้ยง]]</f>
        <v>ยูโร</v>
      </c>
      <c r="I93" s="19" t="str">
        <f>OfficeForms.Table[[#This Row],[ชื่อผู้ร้องเรียน]]</f>
        <v>Google review-  Be Be</v>
      </c>
      <c r="J93" s="19" t="str">
        <f>OfficeForms.Table[[#This Row],[เบอร์โทรศัพท์ผู้ร้องเรียน]]</f>
        <v>-</v>
      </c>
      <c r="K93" s="19" t="str">
        <f>OfficeForms.Table[[#This Row],[หน่วยงานที่ถูกร้องเรียน]]</f>
        <v>VET</v>
      </c>
      <c r="L93" s="19">
        <f>OfficeForms.Table[[#This Row],[กระบวนการที่ถูก Complain]]</f>
        <v>0</v>
      </c>
      <c r="M93" s="19" t="str">
        <f>OfficeForms.Table[[#This Row],[รายละเอียดข้อร้องเรียน]]</f>
        <v>บริการแย่มาก แมวโดนผึ้งต่อยปากบวม ก่อนมาไลน์ถามบอกมีหมอพร้อมตรวจ มารอหมอเกิน 1 ชั่วโมง ไม่มีหมอตรวจ ไม่มีเจ้าหน้าที่มาแจ้งอะไร ต้องไปถามถึงทราบว่าหมอทำอัลตราซาวน์อยู่ ต้องรออีก 30 นาที กลับไป รพ สัตว์ทองหล่อเหมือนเดิม!!! ว่าจะมาลองเห็นคนรีวิวดี</v>
      </c>
      <c r="N93" s="19" t="str">
        <f>OfficeForms.Table[[#This Row],[การแก้ไขเบื้องต้น (ถ้ามี)]]</f>
        <v>พี่ส้มโอโทรคุยกับลูกค้า</v>
      </c>
      <c r="O93" s="19" t="str">
        <f>OfficeForms.Table[[#This Row],[รหัสพนักงานผู้รายงาน (เพื่อสอบถามข้อมูลเพิ่มเติม)]]</f>
        <v>0305</v>
      </c>
      <c r="P93" s="19" t="str">
        <f>OfficeForms.Table[[#This Row],[ชื่อพนักงานที่อยู่ในเหตุการณ์]]</f>
        <v>-</v>
      </c>
      <c r="Q93" s="19" t="str">
        <f>OfficeForms.Table[[#This Row],[ต้องคืนเงิน/ Credit note ลูกค้าหรือไม่]]</f>
        <v>ไม่ต้อง</v>
      </c>
      <c r="R93" s="19">
        <f>OfficeForms.Table[[#This Row],[Invoice'#/ Prepayment'#]]</f>
        <v>0</v>
      </c>
      <c r="S93" s="18">
        <f>OfficeForms.Table[[#This Row],[วันที่รับเงิน]]</f>
        <v>0</v>
      </c>
      <c r="T93" s="19">
        <f>OfficeForms.Table[[#This Row],[ชำระโดย]]</f>
        <v>0</v>
      </c>
      <c r="U93" s="19">
        <f>OfficeForms.Table[[#This Row],[ต้อง Adjust หรือ คืนเงินลูกค้าทางช่องทางใด]]</f>
        <v>0</v>
      </c>
      <c r="V93" s="19">
        <f>OfficeForms.Table[[#This Row],[ชื่อรายการที่ต้องคืน และมูลค่า (รวม VAT)]]</f>
        <v>0</v>
      </c>
      <c r="X93" s="19" t="s">
        <v>1133</v>
      </c>
      <c r="Y93" s="18">
        <v>45944</v>
      </c>
    </row>
    <row r="94" spans="1:25" ht="28.5" hidden="1" customHeight="1">
      <c r="A94" s="19">
        <f>OfficeForms.Table[[#This Row],[Id]]</f>
        <v>96</v>
      </c>
      <c r="B94" s="18">
        <f>OfficeForms.Table[[#This Row],[Start time]]</f>
        <v>45944.656851851803</v>
      </c>
      <c r="C94" s="18">
        <f>OfficeForms.Table[[#This Row],[Completion time]]</f>
        <v>45944.657581018502</v>
      </c>
      <c r="D94" s="19" t="str">
        <f>OfficeForms.Table[[#This Row],[Email]]</f>
        <v>anonymous</v>
      </c>
      <c r="E94" s="19">
        <f>OfficeForms.Table[[#This Row],[Name]]</f>
        <v>0</v>
      </c>
      <c r="F94" s="19" t="str">
        <f>OfficeForms.Table[[#This Row],[สาขาที่เข้ารับบริการ]]</f>
        <v>สาขาทองหล่อ</v>
      </c>
      <c r="G94" s="18">
        <f>OfficeForms.Table[[#This Row],[วันที่เกิดเหตุ]]</f>
        <v>45870</v>
      </c>
      <c r="H94" s="19" t="str">
        <f>OfficeForms.Table[[#This Row],[ชื่อสัตว์เลี้ยง หรือ HN สัตว์เลี้ยง]]</f>
        <v>-</v>
      </c>
      <c r="I94" s="19" t="str">
        <f>OfficeForms.Table[[#This Row],[ชื่อผู้ร้องเรียน]]</f>
        <v>Google Review- Chanok</v>
      </c>
      <c r="J94" s="19" t="str">
        <f>OfficeForms.Table[[#This Row],[เบอร์โทรศัพท์ผู้ร้องเรียน]]</f>
        <v>-</v>
      </c>
      <c r="K94" s="19" t="str">
        <f>OfficeForms.Table[[#This Row],[หน่วยงานที่ถูกร้องเรียน]]</f>
        <v>FRONT</v>
      </c>
      <c r="L94" s="19" t="str">
        <f>OfficeForms.Table[[#This Row],[กระบวนการที่ถูก Complain]]</f>
        <v>การสื่อสารด้าน Non-Clinical</v>
      </c>
      <c r="M94" s="19" t="str">
        <f>OfficeForms.Table[[#This Row],[รายละเอียดข้อร้องเรียน]]</f>
        <v>โทรไปถามราคาฉีดวัคซีน แจ้งถามราคาไปกับเจ้าหน้าที่รับโทรศัพท์ พอถามจบก็เงียบไปเลย ไม่มีการตอบรับหรืออะไรได้ยินแต่เสียงคุยกันเอง รอสายประมาณนาที ไม่มีสิ่งใดๆตอบกลับมา คือ surprise กับบริการที่ได้รับอยู่ ไม่คิดว่าเป็นแบบนี้  Update และคอนเฟิม ลองให้โอกาศอีกครั้ง กับช่องทาง line ไปสอบถามเรทราคาอาบน้ำแมว ถามสองรอบ คำตอบที่ได้คือแบบนี้ หัวจะปวดกับการบริการ จริงๆค่ะ คือที่บ้านมีแมวหลายตัว หลายพันธ์จะให้มาบอกครบทุกตัวก็ไม่สะดวก แล้วน้ำหนัก 0 คือแมวอะไร แค่ส่ง price list ที่แปะไว้ที่โรงพยาบาทมาให้ก็ยังจะดีเสียกว่า</v>
      </c>
      <c r="N94" s="19">
        <f>OfficeForms.Table[[#This Row],[การแก้ไขเบื้องต้น (ถ้ามี)]]</f>
        <v>0</v>
      </c>
      <c r="O94" s="19" t="str">
        <f>OfficeForms.Table[[#This Row],[รหัสพนักงานผู้รายงาน (เพื่อสอบถามข้อมูลเพิ่มเติม)]]</f>
        <v>0305</v>
      </c>
      <c r="P94" s="19" t="str">
        <f>OfficeForms.Table[[#This Row],[ชื่อพนักงานที่อยู่ในเหตุการณ์]]</f>
        <v>-</v>
      </c>
      <c r="Q94" s="19" t="str">
        <f>OfficeForms.Table[[#This Row],[ต้องคืนเงิน/ Credit note ลูกค้าหรือไม่]]</f>
        <v>ไม่ต้อง</v>
      </c>
      <c r="R94" s="19">
        <f>OfficeForms.Table[[#This Row],[Invoice'#/ Prepayment'#]]</f>
        <v>0</v>
      </c>
      <c r="S94" s="18">
        <f>OfficeForms.Table[[#This Row],[วันที่รับเงิน]]</f>
        <v>0</v>
      </c>
      <c r="T94" s="19">
        <f>OfficeForms.Table[[#This Row],[ชำระโดย]]</f>
        <v>0</v>
      </c>
      <c r="U94" s="19">
        <f>OfficeForms.Table[[#This Row],[ต้อง Adjust หรือ คืนเงินลูกค้าทางช่องทางใด]]</f>
        <v>0</v>
      </c>
      <c r="V94" s="19">
        <f>OfficeForms.Table[[#This Row],[ชื่อรายการที่ต้องคืน และมูลค่า (รวม VAT)]]</f>
        <v>0</v>
      </c>
      <c r="X94" s="19" t="s">
        <v>1135</v>
      </c>
      <c r="Y94" s="18">
        <v>45940</v>
      </c>
    </row>
    <row r="95" spans="1:25" ht="129.75" hidden="1" customHeight="1">
      <c r="A95" s="19">
        <f>OfficeForms.Table[[#This Row],[Id]]</f>
        <v>97</v>
      </c>
      <c r="B95" s="18">
        <f>OfficeForms.Table[[#This Row],[Start time]]</f>
        <v>45944.69</v>
      </c>
      <c r="C95" s="18">
        <f>OfficeForms.Table[[#This Row],[Completion time]]</f>
        <v>45944.769849536999</v>
      </c>
      <c r="D95" s="19" t="str">
        <f>OfficeForms.Table[[#This Row],[Email]]</f>
        <v>anonymous</v>
      </c>
      <c r="E95" s="19">
        <f>OfficeForms.Table[[#This Row],[Name]]</f>
        <v>0</v>
      </c>
      <c r="F95" s="19" t="str">
        <f>OfficeForms.Table[[#This Row],[สาขาที่เข้ารับบริการ]]</f>
        <v>สาขาภูเก็ต</v>
      </c>
      <c r="G95" s="18">
        <f>OfficeForms.Table[[#This Row],[วันที่เกิดเหตุ]]</f>
        <v>45914</v>
      </c>
      <c r="H95" s="19" t="str">
        <f>OfficeForms.Table[[#This Row],[ชื่อสัตว์เลี้ยง หรือ HN สัตว์เลี้ยง]]</f>
        <v>Hippo (15757)</v>
      </c>
      <c r="I95" s="19" t="str">
        <f>OfficeForms.Table[[#This Row],[ชื่อผู้ร้องเรียน]]</f>
        <v>Jidapa</v>
      </c>
      <c r="J95" s="19" t="str">
        <f>OfficeForms.Table[[#This Row],[เบอร์โทรศัพท์ผู้ร้องเรียน]]</f>
        <v>0842535137</v>
      </c>
      <c r="K95" s="19" t="str">
        <f>OfficeForms.Table[[#This Row],[หน่วยงานที่ถูกร้องเรียน]]</f>
        <v>VET</v>
      </c>
      <c r="L95" s="19" t="str">
        <f>OfficeForms.Table[[#This Row],[กระบวนการที่ถูก Complain]]</f>
        <v>การดูแล/รักษาผู้ป่วย - IPD</v>
      </c>
      <c r="M95" s="19" t="str">
        <f>OfficeForms.Table[[#This Row],[รายละเอียดข้อร้องเรียน]]</f>
        <v>*สัตว์เลี้ยงเสียชีวิตแล้ว* ช่วงเวลาที่รักษาอยู่ที่อารักษ์ เจ้าของมองว่าในขณะที่เราต้องรอหมอเฉพาะทางด้านระบบประสาทเข้ามาตรวจสัปดาห์ละครั้ง ทำไมเราไม่ส่งไปตรวจที่อื่นต่อ สัตว์ต้องรอ 7 วันเพื่อตรวจทำให้อาการแย่ลง และเสียชีวิตในเวลาต่อมา</v>
      </c>
      <c r="N95" s="19" t="str">
        <f>OfficeForms.Table[[#This Row],[การแก้ไขเบื้องต้น (ถ้ามี)]]</f>
        <v>ได้มีการตกลงกับทีมหมอในกรณีต้องรอตรวจนาน อาจเสนอเบื้องต้นว่านำใบส่งตัวไปตรวจกับโรงพยาบาลอื่นได้หากได้คิวที่ดีกว่า เน้นมองที่ patient safety มากกว่าเดิม</v>
      </c>
      <c r="O95" s="19" t="str">
        <f>OfficeForms.Table[[#This Row],[รหัสพนักงานผู้รายงาน (เพื่อสอบถามข้อมูลเพิ่มเติม)]]</f>
        <v>1044</v>
      </c>
      <c r="P95" s="19" t="str">
        <f>OfficeForms.Table[[#This Row],[ชื่อพนักงานที่อยู่ในเหตุการณ์]]</f>
        <v>หมอ JR, JL, FHA, HAM</v>
      </c>
      <c r="Q95" s="19" t="str">
        <f>OfficeForms.Table[[#This Row],[ต้องคืนเงิน/ Credit note ลูกค้าหรือไม่]]</f>
        <v>ไม่ต้อง</v>
      </c>
      <c r="R95" s="19">
        <f>OfficeForms.Table[[#This Row],[Invoice'#/ Prepayment'#]]</f>
        <v>0</v>
      </c>
      <c r="S95" s="18">
        <f>OfficeForms.Table[[#This Row],[วันที่รับเงิน]]</f>
        <v>0</v>
      </c>
      <c r="T95" s="19">
        <f>OfficeForms.Table[[#This Row],[ชำระโดย]]</f>
        <v>0</v>
      </c>
      <c r="U95" s="19">
        <f>OfficeForms.Table[[#This Row],[ต้อง Adjust หรือ คืนเงินลูกค้าทางช่องทางใด]]</f>
        <v>0</v>
      </c>
      <c r="V95" s="19">
        <f>OfficeForms.Table[[#This Row],[ชื่อรายการที่ต้องคืน และมูลค่า (รวม VAT)]]</f>
        <v>0</v>
      </c>
      <c r="X95" s="19" t="s">
        <v>1125</v>
      </c>
    </row>
    <row r="96" spans="1:25" ht="28.5" hidden="1" customHeight="1">
      <c r="A96" s="19">
        <f>OfficeForms.Table[[#This Row],[Id]]</f>
        <v>98</v>
      </c>
      <c r="B96" s="18">
        <f>OfficeForms.Table[[#This Row],[Start time]]</f>
        <v>45944.769895833299</v>
      </c>
      <c r="C96" s="18">
        <f>OfficeForms.Table[[#This Row],[Completion time]]</f>
        <v>45944.7831828704</v>
      </c>
      <c r="D96" s="19" t="str">
        <f>OfficeForms.Table[[#This Row],[Email]]</f>
        <v>anonymous</v>
      </c>
      <c r="E96" s="19">
        <f>OfficeForms.Table[[#This Row],[Name]]</f>
        <v>0</v>
      </c>
      <c r="F96" s="19" t="str">
        <f>OfficeForms.Table[[#This Row],[สาขาที่เข้ารับบริการ]]</f>
        <v>สาขาภูเก็ต</v>
      </c>
      <c r="G96" s="18">
        <f>OfficeForms.Table[[#This Row],[วันที่เกิดเหตุ]]</f>
        <v>45931</v>
      </c>
      <c r="H96" s="19" t="str">
        <f>OfficeForms.Table[[#This Row],[ชื่อสัตว์เลี้ยง หรือ HN สัตว์เลี้ยง]]</f>
        <v>Mikki (8895)</v>
      </c>
      <c r="I96" s="19" t="str">
        <f>OfficeForms.Table[[#This Row],[ชื่อผู้ร้องเรียน]]</f>
        <v>Anatasiia Putsankova</v>
      </c>
      <c r="J96" s="19" t="str">
        <f>OfficeForms.Table[[#This Row],[เบอร์โทรศัพท์ผู้ร้องเรียน]]</f>
        <v xml:space="preserve"> +66 81 738 2100</v>
      </c>
      <c r="K96" s="19" t="str">
        <f>OfficeForms.Table[[#This Row],[หน่วยงานที่ถูกร้องเรียน]]</f>
        <v>VET</v>
      </c>
      <c r="L96" s="19" t="str">
        <f>OfficeForms.Table[[#This Row],[กระบวนการที่ถูก Complain]]</f>
        <v>การดูแล/รักษาผู้ป่วย - OPD</v>
      </c>
      <c r="M96" s="19" t="str">
        <f>OfficeForms.Table[[#This Row],[รายละเอียดข้อร้องเรียน]]</f>
        <v>แมวเป็นโรคผิวหนัง ลูกค้าอยากให้ตรวจรอยโรคสองตำแหน่งเอง แต่พอคิดบิลออกมาบอกรอยโรคอยู่ใกล้ๆกันทำไมต้องคิดสองที่ ที่อื่นที่ฉันไปตรวจถ้ามา follow up เขาไม่คิดเงินค่าตรวจใต้กล้องจุลด้วยซ้ำ ค่าใช้จ่ายอื่นๆก็แพงกว่าโรงพยาบาลอื่น หลักๆคือไม่พอใจเรื่องราคา</v>
      </c>
      <c r="N96" s="19" t="str">
        <f>OfficeForms.Table[[#This Row],[การแก้ไขเบื้องต้น (ถ้ามี)]]</f>
        <v>หมอต้องแจ้งก่อนตรวจ ถ้ามีการเก็บตัวอย่างตรวจหลายตำแหน่งต่อให้อยู่ใกล้กันก็คิดราคาตามจำนวนตำแหน่งที่เก็บตรวจตามจริง และอาจให้ลูกค้าเซ็นรับทราบก่อนในกรณีที่เป็นต่างชาติและอาจไม่เข้าใจด้านภาษา</v>
      </c>
      <c r="O96" s="19" t="str">
        <f>OfficeForms.Table[[#This Row],[รหัสพนักงานผู้รายงาน (เพื่อสอบถามข้อมูลเพิ่มเติม)]]</f>
        <v>1044</v>
      </c>
      <c r="P96" s="19" t="str">
        <f>OfficeForms.Table[[#This Row],[ชื่อพนักงานที่อยู่ในเหตุการณ์]]</f>
        <v>หมอ KP และฟร้อนหนิง</v>
      </c>
      <c r="Q96" s="19" t="str">
        <f>OfficeForms.Table[[#This Row],[ต้องคืนเงิน/ Credit note ลูกค้าหรือไม่]]</f>
        <v>ไม่ต้อง</v>
      </c>
      <c r="R96" s="19">
        <f>OfficeForms.Table[[#This Row],[Invoice'#/ Prepayment'#]]</f>
        <v>0</v>
      </c>
      <c r="S96" s="19">
        <f>OfficeForms.Table[[#This Row],[วันที่รับเงิน]]</f>
        <v>0</v>
      </c>
      <c r="T96" s="19">
        <f>OfficeForms.Table[[#This Row],[ชำระโดย]]</f>
        <v>0</v>
      </c>
      <c r="U96" s="19">
        <f>OfficeForms.Table[[#This Row],[ต้อง Adjust หรือ คืนเงินลูกค้าทางช่องทางใด]]</f>
        <v>0</v>
      </c>
      <c r="V96" s="19">
        <f>OfficeForms.Table[[#This Row],[ชื่อรายการที่ต้องคืน และมูลค่า (รวม VAT)]]</f>
        <v>0</v>
      </c>
      <c r="Y96" s="19"/>
    </row>
    <row r="97" spans="1:25" ht="44.25" hidden="1" customHeight="1">
      <c r="A97" s="19">
        <f>OfficeForms.Table[[#This Row],[Id]]</f>
        <v>99</v>
      </c>
      <c r="B97" s="18">
        <f>OfficeForms.Table[[#This Row],[Start time]]</f>
        <v>45945.539618055598</v>
      </c>
      <c r="C97" s="18">
        <f>OfficeForms.Table[[#This Row],[Completion time]]</f>
        <v>45945.542199074102</v>
      </c>
      <c r="D97" s="19" t="str">
        <f>OfficeForms.Table[[#This Row],[Email]]</f>
        <v>anonymous</v>
      </c>
      <c r="E97" s="19">
        <f>OfficeForms.Table[[#This Row],[Name]]</f>
        <v>0</v>
      </c>
      <c r="F97" s="19" t="str">
        <f>OfficeForms.Table[[#This Row],[สาขาที่เข้ารับบริการ]]</f>
        <v>สาขาหลังสวน</v>
      </c>
      <c r="G97" s="18">
        <f>OfficeForms.Table[[#This Row],[วันที่เกิดเหตุ]]</f>
        <v>45938</v>
      </c>
      <c r="H97" s="19" t="str">
        <f>OfficeForms.Table[[#This Row],[ชื่อสัตว์เลี้ยง หรือ HN สัตว์เลี้ยง]]</f>
        <v>Heart17110</v>
      </c>
      <c r="I97" s="19" t="str">
        <f>OfficeForms.Table[[#This Row],[ชื่อผู้ร้องเรียน]]</f>
        <v>ชิดชนก ก่อทวีชัย</v>
      </c>
      <c r="J97" s="19" t="str">
        <f>OfficeForms.Table[[#This Row],[เบอร์โทรศัพท์ผู้ร้องเรียน]]</f>
        <v>0824629924</v>
      </c>
      <c r="K97" s="19" t="str">
        <f>OfficeForms.Table[[#This Row],[หน่วยงานที่ถูกร้องเรียน]]</f>
        <v>NURSE OPD</v>
      </c>
      <c r="L97" s="19" t="str">
        <f>OfficeForms.Table[[#This Row],[กระบวนการที่ถูก Complain]]</f>
        <v>การดูแล/รักษาผู้ป่วย - OPD</v>
      </c>
      <c r="M97" s="19" t="str">
        <f>OfficeForms.Table[[#This Row],[รายละเอียดข้อร้องเรียน]]</f>
        <v>พยบ ทำหัตถาร(swabอุจจาระ)โดยพลการ</v>
      </c>
      <c r="N97" s="19" t="str">
        <f>OfficeForms.Table[[#This Row],[การแก้ไขเบื้องต้น (ถ้ามี)]]</f>
        <v>คุณหมอโทรคัยและขอโทษ จข ผจก แจ้ง หน เนริส ให้ตักเตือน และอบรมในแผนก</v>
      </c>
      <c r="O97" s="19" t="str">
        <f>OfficeForms.Table[[#This Row],[รหัสพนักงานผู้รายงาน (เพื่อสอบถามข้อมูลเพิ่มเติม)]]</f>
        <v>0226</v>
      </c>
      <c r="P97" s="19" t="str">
        <f>OfficeForms.Table[[#This Row],[ชื่อพนักงานที่อยู่ในเหตุการณ์]]</f>
        <v>พยบ บีม Vet Music</v>
      </c>
      <c r="Q97" s="19" t="str">
        <f>OfficeForms.Table[[#This Row],[ต้องคืนเงิน/ Credit note ลูกค้าหรือไม่]]</f>
        <v>ไม่ต้อง</v>
      </c>
      <c r="R97" s="19">
        <f>OfficeForms.Table[[#This Row],[Invoice'#/ Prepayment'#]]</f>
        <v>0</v>
      </c>
      <c r="S97" s="19">
        <f>OfficeForms.Table[[#This Row],[วันที่รับเงิน]]</f>
        <v>0</v>
      </c>
      <c r="T97" s="19">
        <f>OfficeForms.Table[[#This Row],[ชำระโดย]]</f>
        <v>0</v>
      </c>
      <c r="U97" s="19">
        <f>OfficeForms.Table[[#This Row],[ต้อง Adjust หรือ คืนเงินลูกค้าทางช่องทางใด]]</f>
        <v>0</v>
      </c>
      <c r="V97" s="19">
        <f>OfficeForms.Table[[#This Row],[ชื่อรายการที่ต้องคืน และมูลค่า (รวม VAT)]]</f>
        <v>0</v>
      </c>
      <c r="Y97" s="19"/>
    </row>
    <row r="98" spans="1:25" ht="45.75" hidden="1" customHeight="1">
      <c r="A98" s="19">
        <f>OfficeForms.Table[[#This Row],[Id]]</f>
        <v>100</v>
      </c>
      <c r="B98" s="18">
        <f>OfficeForms.Table[[#This Row],[Start time]]</f>
        <v>45946.619050925903</v>
      </c>
      <c r="C98" s="18">
        <f>OfficeForms.Table[[#This Row],[Completion time]]</f>
        <v>45946.624247685198</v>
      </c>
      <c r="D98" s="19" t="str">
        <f>OfficeForms.Table[[#This Row],[Email]]</f>
        <v>anonymous</v>
      </c>
      <c r="E98" s="19">
        <f>OfficeForms.Table[[#This Row],[Name]]</f>
        <v>0</v>
      </c>
      <c r="F98" s="19" t="str">
        <f>OfficeForms.Table[[#This Row],[สาขาที่เข้ารับบริการ]]</f>
        <v>สาขาทองหล่อ</v>
      </c>
      <c r="G98" s="18">
        <f>OfficeForms.Table[[#This Row],[วันที่เกิดเหตุ]]</f>
        <v>45931</v>
      </c>
      <c r="H98" s="19" t="str">
        <f>OfficeForms.Table[[#This Row],[ชื่อสัตว์เลี้ยง หรือ HN สัตว์เลี้ยง]]</f>
        <v>-</v>
      </c>
      <c r="I98" s="19" t="str">
        <f>OfficeForms.Table[[#This Row],[ชื่อผู้ร้องเรียน]]</f>
        <v>Google Review- Natnicha Ruangsumraj</v>
      </c>
      <c r="J98" s="19" t="str">
        <f>OfficeForms.Table[[#This Row],[เบอร์โทรศัพท์ผู้ร้องเรียน]]</f>
        <v>-</v>
      </c>
      <c r="K98" s="19" t="str">
        <f>OfficeForms.Table[[#This Row],[หน่วยงานที่ถูกร้องเรียน]]</f>
        <v>GROOMING</v>
      </c>
      <c r="L98" s="19" t="str">
        <f>OfficeForms.Table[[#This Row],[กระบวนการที่ถูก Complain]]</f>
        <v>การดูแล/รักษาผู้ป่วย - OPD</v>
      </c>
      <c r="M98" s="19" t="str">
        <f>OfficeForms.Table[[#This Row],[รายละเอียดข้อร้องเรียน]]</f>
        <v>น้องไปอาบน้ำตัดขน กลับมาเท้าเจ็บ เดินกะเผลก ไปครั้งแรก และไม่ประทับใจคะ</v>
      </c>
      <c r="N98" s="19">
        <f>OfficeForms.Table[[#This Row],[การแก้ไขเบื้องต้น (ถ้ามี)]]</f>
        <v>0</v>
      </c>
      <c r="O98" s="19" t="str">
        <f>OfficeForms.Table[[#This Row],[รหัสพนักงานผู้รายงาน (เพื่อสอบถามข้อมูลเพิ่มเติม)]]</f>
        <v>0305</v>
      </c>
      <c r="P98" s="19" t="str">
        <f>OfficeForms.Table[[#This Row],[ชื่อพนักงานที่อยู่ในเหตุการณ์]]</f>
        <v>-</v>
      </c>
      <c r="Q98" s="19" t="str">
        <f>OfficeForms.Table[[#This Row],[ต้องคืนเงิน/ Credit note ลูกค้าหรือไม่]]</f>
        <v>ไม่ต้อง</v>
      </c>
      <c r="R98" s="19">
        <f>OfficeForms.Table[[#This Row],[Invoice'#/ Prepayment'#]]</f>
        <v>0</v>
      </c>
      <c r="S98" s="19">
        <f>OfficeForms.Table[[#This Row],[วันที่รับเงิน]]</f>
        <v>0</v>
      </c>
      <c r="T98" s="19">
        <f>OfficeForms.Table[[#This Row],[ชำระโดย]]</f>
        <v>0</v>
      </c>
      <c r="U98" s="19">
        <f>OfficeForms.Table[[#This Row],[ต้อง Adjust หรือ คืนเงินลูกค้าทางช่องทางใด]]</f>
        <v>0</v>
      </c>
      <c r="V98" s="19">
        <f>OfficeForms.Table[[#This Row],[ชื่อรายการที่ต้องคืน และมูลค่า (รวม VAT)]]</f>
        <v>0</v>
      </c>
      <c r="Y98" s="19"/>
    </row>
    <row r="99" spans="1:25" ht="80.25" hidden="1" customHeight="1">
      <c r="A99" s="19">
        <f>OfficeForms.Table[[#This Row],[Id]]</f>
        <v>101</v>
      </c>
      <c r="B99" s="18">
        <f>OfficeForms.Table[[#This Row],[Start time]]</f>
        <v>45946.629097222198</v>
      </c>
      <c r="C99" s="18">
        <f>OfficeForms.Table[[#This Row],[Completion time]]</f>
        <v>45946.631979166697</v>
      </c>
      <c r="D99" s="19" t="str">
        <f>OfficeForms.Table[[#This Row],[Email]]</f>
        <v>anonymous</v>
      </c>
      <c r="E99" s="19">
        <f>OfficeForms.Table[[#This Row],[Name]]</f>
        <v>0</v>
      </c>
      <c r="F99" s="19" t="str">
        <f>OfficeForms.Table[[#This Row],[สาขาที่เข้ารับบริการ]]</f>
        <v>สาขาทองหล่อ</v>
      </c>
      <c r="G99" s="18">
        <f>OfficeForms.Table[[#This Row],[วันที่เกิดเหตุ]]</f>
        <v>45941</v>
      </c>
      <c r="H99" s="19" t="str">
        <f>OfficeForms.Table[[#This Row],[ชื่อสัตว์เลี้ยง หรือ HN สัตว์เลี้ยง]]</f>
        <v>-</v>
      </c>
      <c r="I99" s="19" t="str">
        <f>OfficeForms.Table[[#This Row],[ชื่อผู้ร้องเรียน]]</f>
        <v>Brian Wilson</v>
      </c>
      <c r="J99" s="19" t="str">
        <f>OfficeForms.Table[[#This Row],[เบอร์โทรศัพท์ผู้ร้องเรียน]]</f>
        <v>-</v>
      </c>
      <c r="K99" s="19" t="str">
        <f>OfficeForms.Table[[#This Row],[หน่วยงานที่ถูกร้องเรียน]]</f>
        <v>.Back Office/Support</v>
      </c>
      <c r="L99" s="19" t="str">
        <f>OfficeForms.Table[[#This Row],[กระบวนการที่ถูก Complain]]</f>
        <v>การสื่อสารด้าน Non-Clinical</v>
      </c>
      <c r="M99" s="19" t="str">
        <f>OfficeForms.Table[[#This Row],[รายละเอียดข้อร้องเรียน]]</f>
        <v>ลูกค้าตอบ Email กลับมาแล้วไม่มีใคร Response กลับ</v>
      </c>
      <c r="N99" s="19" t="s">
        <v>1142</v>
      </c>
      <c r="O99" s="19" t="str">
        <f>OfficeForms.Table[[#This Row],[รหัสพนักงานผู้รายงาน (เพื่อสอบถามข้อมูลเพิ่มเติม)]]</f>
        <v>0305</v>
      </c>
      <c r="P99" s="19" t="str">
        <f>OfficeForms.Table[[#This Row],[ชื่อพนักงานที่อยู่ในเหตุการณ์]]</f>
        <v>-</v>
      </c>
      <c r="Q99" s="19" t="str">
        <f>OfficeForms.Table[[#This Row],[ต้องคืนเงิน/ Credit note ลูกค้าหรือไม่]]</f>
        <v>ไม่ต้อง</v>
      </c>
      <c r="R99" s="19">
        <f>OfficeForms.Table[[#This Row],[Invoice'#/ Prepayment'#]]</f>
        <v>0</v>
      </c>
      <c r="S99" s="18">
        <f>OfficeForms.Table[[#This Row],[วันที่รับเงิน]]</f>
        <v>0</v>
      </c>
      <c r="T99" s="19">
        <f>OfficeForms.Table[[#This Row],[ชำระโดย]]</f>
        <v>0</v>
      </c>
      <c r="U99" s="19">
        <f>OfficeForms.Table[[#This Row],[ต้อง Adjust หรือ คืนเงินลูกค้าทางช่องทางใด]]</f>
        <v>0</v>
      </c>
      <c r="V99" s="19">
        <f>OfficeForms.Table[[#This Row],[ชื่อรายการที่ต้องคืน และมูลค่า (รวม VAT)]]</f>
        <v>0</v>
      </c>
      <c r="X99" s="19" t="s">
        <v>1128</v>
      </c>
      <c r="Y99" s="18">
        <v>45952</v>
      </c>
    </row>
    <row r="100" spans="1:25" ht="54.75" hidden="1" customHeight="1">
      <c r="A100" s="19">
        <f>OfficeForms.Table[[#This Row],[Id]]</f>
        <v>102</v>
      </c>
      <c r="B100" s="18">
        <f>OfficeForms.Table[[#This Row],[Start time]]</f>
        <v>45946.638263888897</v>
      </c>
      <c r="C100" s="18">
        <f>OfficeForms.Table[[#This Row],[Completion time]]</f>
        <v>45946.640416666698</v>
      </c>
      <c r="D100" s="19" t="str">
        <f>OfficeForms.Table[[#This Row],[Email]]</f>
        <v>anonymous</v>
      </c>
      <c r="E100" s="19">
        <f>OfficeForms.Table[[#This Row],[Name]]</f>
        <v>0</v>
      </c>
      <c r="F100" s="19" t="str">
        <f>OfficeForms.Table[[#This Row],[สาขาที่เข้ารับบริการ]]</f>
        <v>สาขาทองหล่อ</v>
      </c>
      <c r="G100" s="18">
        <f>OfficeForms.Table[[#This Row],[วันที่เกิดเหตุ]]</f>
        <v>45946</v>
      </c>
      <c r="H100" s="19" t="str">
        <f>OfficeForms.Table[[#This Row],[ชื่อสัตว์เลี้ยง หรือ HN สัตว์เลี้ยง]]</f>
        <v>Test</v>
      </c>
      <c r="I100" s="19" t="str">
        <f>OfficeForms.Table[[#This Row],[ชื่อผู้ร้องเรียน]]</f>
        <v>test</v>
      </c>
      <c r="J100" s="19" t="str">
        <f>OfficeForms.Table[[#This Row],[เบอร์โทรศัพท์ผู้ร้องเรียน]]</f>
        <v>test</v>
      </c>
      <c r="K100" s="19" t="str">
        <f>OfficeForms.Table[[#This Row],[หน่วยงานที่ถูกร้องเรียน]]</f>
        <v>GROOMING</v>
      </c>
      <c r="L100" s="19" t="str">
        <f>OfficeForms.Table[[#This Row],[กระบวนการที่ถูก Complain]]</f>
        <v>การประสานงานภายใน</v>
      </c>
      <c r="M100" s="19" t="str">
        <f>OfficeForms.Table[[#This Row],[รายละเอียดข้อร้องเรียน]]</f>
        <v>test</v>
      </c>
      <c r="N100" s="19" t="s">
        <v>1143</v>
      </c>
      <c r="O100" s="19" t="str">
        <f>OfficeForms.Table[[#This Row],[รหัสพนักงานผู้รายงาน (เพื่อสอบถามข้อมูลเพิ่มเติม)]]</f>
        <v>test</v>
      </c>
      <c r="P100" s="19" t="str">
        <f>OfficeForms.Table[[#This Row],[ชื่อพนักงานที่อยู่ในเหตุการณ์]]</f>
        <v>test</v>
      </c>
      <c r="Q100" s="19" t="str">
        <f>OfficeForms.Table[[#This Row],[ต้องคืนเงิน/ Credit note ลูกค้าหรือไม่]]</f>
        <v>ไม่ต้อง</v>
      </c>
      <c r="R100" s="19">
        <f>OfficeForms.Table[[#This Row],[Invoice'#/ Prepayment'#]]</f>
        <v>0</v>
      </c>
      <c r="S100" s="18">
        <f>OfficeForms.Table[[#This Row],[วันที่รับเงิน]]</f>
        <v>0</v>
      </c>
      <c r="T100" s="19">
        <f>OfficeForms.Table[[#This Row],[ชำระโดย]]</f>
        <v>0</v>
      </c>
      <c r="U100" s="19">
        <f>OfficeForms.Table[[#This Row],[ต้อง Adjust หรือ คืนเงินลูกค้าทางช่องทางใด]]</f>
        <v>0</v>
      </c>
      <c r="V100" s="19">
        <f>OfficeForms.Table[[#This Row],[ชื่อรายการที่ต้องคืน และมูลค่า (รวม VAT)]]</f>
        <v>0</v>
      </c>
      <c r="X100" s="19" t="s">
        <v>1128</v>
      </c>
    </row>
    <row r="101" spans="1:25" ht="58.5" hidden="1" customHeight="1">
      <c r="A101" s="19">
        <f>OfficeForms.Table[[#This Row],[Id]]</f>
        <v>103</v>
      </c>
      <c r="B101" s="18">
        <f>OfficeForms.Table[[#This Row],[Start time]]</f>
        <v>45946.668402777803</v>
      </c>
      <c r="C101" s="18">
        <f>OfficeForms.Table[[#This Row],[Completion time]]</f>
        <v>45946.672604166699</v>
      </c>
      <c r="D101" s="19" t="str">
        <f>OfficeForms.Table[[#This Row],[Email]]</f>
        <v>anonymous</v>
      </c>
      <c r="E101" s="19">
        <f>OfficeForms.Table[[#This Row],[Name]]</f>
        <v>0</v>
      </c>
      <c r="F101" s="19" t="str">
        <f>OfficeForms.Table[[#This Row],[สาขาที่เข้ารับบริการ]]</f>
        <v>สาขาทองหล่อ</v>
      </c>
      <c r="G101" s="18">
        <f>OfficeForms.Table[[#This Row],[วันที่เกิดเหตุ]]</f>
        <v>45928</v>
      </c>
      <c r="H101" s="19" t="str">
        <f>OfficeForms.Table[[#This Row],[ชื่อสัตว์เลี้ยง หรือ HN สัตว์เลี้ยง]]</f>
        <v>ซันเดย์ (16599)</v>
      </c>
      <c r="I101" s="19" t="str">
        <f>OfficeForms.Table[[#This Row],[ชื่อผู้ร้องเรียน]]</f>
        <v xml:space="preserve"> นุตธิดา ไชยวสุ  (7596) </v>
      </c>
      <c r="J101" s="19" t="str">
        <f>OfficeForms.Table[[#This Row],[เบอร์โทรศัพท์ผู้ร้องเรียน]]</f>
        <v xml:space="preserve">098 258 5582  </v>
      </c>
      <c r="K101" s="19" t="str">
        <f>OfficeForms.Table[[#This Row],[หน่วยงานที่ถูกร้องเรียน]]</f>
        <v>VET</v>
      </c>
      <c r="L101" s="19" t="str">
        <f>OfficeForms.Table[[#This Row],[กระบวนการที่ถูก Complain]]</f>
        <v>การสื่อสารด้าน Clinical</v>
      </c>
      <c r="M101" s="19" t="str">
        <f>OfficeForms.Table[[#This Row],[รายละเอียดข้อร้องเรียน]]</f>
        <v>ลูกค้าแจ้งว่าคุณหมอไม่ได้แจ้งว่าจะมีการ X-ray, Ultrasound ก่อนที่จะทำ จึงขอคืนเงินเข้า Prepayment ไวใช้ในครั้งต่อไป</v>
      </c>
      <c r="N101" s="19" t="str">
        <f>OfficeForms.Table[[#This Row],[การแก้ไขเบื้องต้น (ถ้ามี)]]</f>
        <v>แจ้งขอโทษลูกค้า</v>
      </c>
      <c r="O101" s="19" t="str">
        <f>OfficeForms.Table[[#This Row],[รหัสพนักงานผู้รายงาน (เพื่อสอบถามข้อมูลเพิ่มเติม)]]</f>
        <v>0305</v>
      </c>
      <c r="P101" s="19" t="str">
        <f>OfficeForms.Table[[#This Row],[ชื่อพนักงานที่อยู่ในเหตุการณ์]]</f>
        <v>นุ้ย ส้มโอ</v>
      </c>
      <c r="Q101" s="19" t="str">
        <f>OfficeForms.Table[[#This Row],[ต้องคืนเงิน/ Credit note ลูกค้าหรือไม่]]</f>
        <v>ต้อง</v>
      </c>
      <c r="R101" s="19" t="str">
        <f>OfficeForms.Table[[#This Row],[Invoice'#/ Prepayment'#]]</f>
        <v>draft</v>
      </c>
      <c r="S101" s="18">
        <f>OfficeForms.Table[[#This Row],[วันที่รับเงิน]]</f>
        <v>45928</v>
      </c>
      <c r="T101" s="19" t="str">
        <f>OfficeForms.Table[[#This Row],[ชำระโดย]]</f>
        <v>Credit card</v>
      </c>
      <c r="U101" s="19" t="str">
        <f>OfficeForms.Table[[#This Row],[ต้อง Adjust หรือ คืนเงินลูกค้าทางช่องทางใด]]</f>
        <v>คืนเงินลูกค้า (เข้า Prepayment)</v>
      </c>
      <c r="V101" s="19" t="str">
        <f>OfficeForms.Table[[#This Row],[ชื่อรายการที่ต้องคืน และมูลค่า (รวม VAT)]]</f>
        <v>ค่าแพทย์อ่านXray   THORAX-VD (อก)   THORAX-RIGHT LAT (อก)   ABDOMEN-RIGHT LAT(ท้อง)   ABDOMEN-VD (ท้อง)   ค่าแพทย์เฉพาะด้านOPD3   ค่าแพทย์OnCall   ค่าแพทย์เฉพาะด้านOPD3   Ultrasound Abdomen  </v>
      </c>
      <c r="X101" s="19" t="s">
        <v>1133</v>
      </c>
      <c r="Y101" s="18">
        <v>45946</v>
      </c>
    </row>
    <row r="102" spans="1:25" ht="58.5" hidden="1" customHeight="1">
      <c r="A102" s="19">
        <f>OfficeForms.Table[[#This Row],[Id]]</f>
        <v>104</v>
      </c>
      <c r="B102" s="18">
        <f>OfficeForms.Table[[#This Row],[Start time]]</f>
        <v>45950.6241898148</v>
      </c>
      <c r="C102" s="18">
        <f>OfficeForms.Table[[#This Row],[Completion time]]</f>
        <v>45950.627546296302</v>
      </c>
      <c r="D102" s="19" t="str">
        <f>OfficeForms.Table[[#This Row],[Email]]</f>
        <v>anonymous</v>
      </c>
      <c r="E102" s="19">
        <f>OfficeForms.Table[[#This Row],[Name]]</f>
        <v>0</v>
      </c>
      <c r="F102" s="19" t="str">
        <f>OfficeForms.Table[[#This Row],[สาขาที่เข้ารับบริการ]]</f>
        <v>สาขาทองหล่อ</v>
      </c>
      <c r="G102" s="18">
        <f>OfficeForms.Table[[#This Row],[วันที่เกิดเหตุ]]</f>
        <v>45943</v>
      </c>
      <c r="H102" s="19" t="str">
        <f>OfficeForms.Table[[#This Row],[ชื่อสัตว์เลี้ยง หรือ HN สัตว์เลี้ยง]]</f>
        <v>COCO 8991</v>
      </c>
      <c r="I102" s="19" t="str">
        <f>OfficeForms.Table[[#This Row],[ชื่อผู้ร้องเรียน]]</f>
        <v>ตูน พยาบาล</v>
      </c>
      <c r="J102" s="19" t="str">
        <f>OfficeForms.Table[[#This Row],[เบอร์โทรศัพท์ผู้ร้องเรียน]]</f>
        <v>-</v>
      </c>
      <c r="K102" s="19" t="str">
        <f>OfficeForms.Table[[#This Row],[หน่วยงานที่ถูกร้องเรียน]]</f>
        <v>NURSE IPD</v>
      </c>
      <c r="L102" s="19" t="str">
        <f>OfficeForms.Table[[#This Row],[กระบวนการที่ถูก Complain]]</f>
        <v>การดูแล/รักษาผู้ป่วย - IPD</v>
      </c>
      <c r="M102" s="19" t="str">
        <f>OfficeForms.Table[[#This Row],[รายละเอียดข้อร้องเรียน]]</f>
        <v>น้องกินสปริงคอลล่า ขณะที่พักอยู่ที่ IPD ของเรา</v>
      </c>
      <c r="N102" s="19" t="str">
        <f>OfficeForms.Table[[#This Row],[การแก้ไขเบื้องต้น (ถ้ามี)]]</f>
        <v>แจ้งลูกค้าและพาไป Ultrasound, คีบออก</v>
      </c>
      <c r="O102" s="19" t="str">
        <f>OfficeForms.Table[[#This Row],[รหัสพนักงานผู้รายงาน (เพื่อสอบถามข้อมูลเพิ่มเติม)]]</f>
        <v>ตูน</v>
      </c>
      <c r="P102" s="19" t="str">
        <f>OfficeForms.Table[[#This Row],[ชื่อพนักงานที่อยู่ในเหตุการณ์]]</f>
        <v>ตูน</v>
      </c>
      <c r="Q102" s="19" t="str">
        <f>OfficeForms.Table[[#This Row],[ต้องคืนเงิน/ Credit note ลูกค้าหรือไม่]]</f>
        <v>ต้อง</v>
      </c>
      <c r="R102" s="19" t="str">
        <f>OfficeForms.Table[[#This Row],[Invoice'#/ Prepayment'#]]</f>
        <v>21250021478</v>
      </c>
      <c r="S102" s="18">
        <f>OfficeForms.Table[[#This Row],[วันที่รับเงิน]]</f>
        <v>45944</v>
      </c>
      <c r="T102" s="19" t="str">
        <f>OfficeForms.Table[[#This Row],[ชำระโดย]]</f>
        <v>Credit card</v>
      </c>
      <c r="U102" s="19">
        <f>OfficeForms.Table[[#This Row],[ต้อง Adjust หรือ คืนเงินลูกค้าทางช่องทางใด]]</f>
        <v>0</v>
      </c>
      <c r="V102" s="19" t="str">
        <f>OfficeForms.Table[[#This Row],[ชื่อรายการที่ต้องคืน และมูลค่า (รวม VAT)]]</f>
        <v>Damage with VAT 17023.32, Damage no VAT 703</v>
      </c>
    </row>
    <row r="103" spans="1:25" ht="28.5" hidden="1" customHeight="1">
      <c r="A103" s="19">
        <f>OfficeForms.Table[[#This Row],[Id]]</f>
        <v>105</v>
      </c>
      <c r="B103" s="18">
        <f>OfficeForms.Table[[#This Row],[Start time]]</f>
        <v>45950.627881944398</v>
      </c>
      <c r="C103" s="18">
        <f>OfficeForms.Table[[#This Row],[Completion time]]</f>
        <v>45950.630613425899</v>
      </c>
      <c r="D103" s="19" t="str">
        <f>OfficeForms.Table[[#This Row],[Email]]</f>
        <v>anonymous</v>
      </c>
      <c r="E103" s="19">
        <f>OfficeForms.Table[[#This Row],[Name]]</f>
        <v>0</v>
      </c>
      <c r="F103" s="19" t="str">
        <f>OfficeForms.Table[[#This Row],[สาขาที่เข้ารับบริการ]]</f>
        <v>สาขาทองหล่อ</v>
      </c>
      <c r="G103" s="18">
        <f>OfficeForms.Table[[#This Row],[วันที่เกิดเหตุ]]</f>
        <v>45943</v>
      </c>
      <c r="H103" s="19" t="str">
        <f>OfficeForms.Table[[#This Row],[ชื่อสัตว์เลี้ยง หรือ HN สัตว์เลี้ยง]]</f>
        <v>คิ้วเข้ม 14372</v>
      </c>
      <c r="I103" s="19" t="str">
        <f>OfficeForms.Table[[#This Row],[ชื่อผู้ร้องเรียน]]</f>
        <v>หมอป่าน</v>
      </c>
      <c r="J103" s="19" t="str">
        <f>OfficeForms.Table[[#This Row],[เบอร์โทรศัพท์ผู้ร้องเรียน]]</f>
        <v>-</v>
      </c>
      <c r="K103" s="19" t="str">
        <f>OfficeForms.Table[[#This Row],[หน่วยงานที่ถูกร้องเรียน]]</f>
        <v>NURSE IPD</v>
      </c>
      <c r="L103" s="19" t="str">
        <f>OfficeForms.Table[[#This Row],[กระบวนการที่ถูก Complain]]</f>
        <v>การดูแล/รักษาผู้ป่วย - IPD</v>
      </c>
      <c r="M103" s="22" t="str">
        <f>OfficeForms.Table[[#This Row],[รายละเอียดข้อร้องเรียน]]</f>
        <v>ผ้าก๊อซหาย คาดว่าน้องกินเข้าไป</v>
      </c>
      <c r="N103" s="19" t="str">
        <f>OfficeForms.Table[[#This Row],[การแก้ไขเบื้องต้น (ถ้ามี)]]</f>
        <v xml:space="preserve">พาไป Ultrasound และให้ยาช่วยให้อาเจียน </v>
      </c>
      <c r="O103" s="19" t="str">
        <f>OfficeForms.Table[[#This Row],[รหัสพนักงานผู้รายงาน (เพื่อสอบถามข้อมูลเพิ่มเติม)]]</f>
        <v>หมอป่าน</v>
      </c>
      <c r="P103" s="19" t="str">
        <f>OfficeForms.Table[[#This Row],[ชื่อพนักงานที่อยู่ในเหตุการณ์]]</f>
        <v>หมอป่าน</v>
      </c>
      <c r="Q103" s="19" t="str">
        <f>OfficeForms.Table[[#This Row],[ต้องคืนเงิน/ Credit note ลูกค้าหรือไม่]]</f>
        <v>ต้อง</v>
      </c>
      <c r="R103" s="19">
        <f>OfficeForms.Table[[#This Row],[Invoice'#/ Prepayment'#]]</f>
        <v>0</v>
      </c>
      <c r="S103" s="18">
        <f>OfficeForms.Table[[#This Row],[วันที่รับเงิน]]</f>
        <v>0</v>
      </c>
      <c r="T103" s="19" t="str">
        <f>OfficeForms.Table[[#This Row],[ชำระโดย]]</f>
        <v>Credit card</v>
      </c>
      <c r="U103" s="19">
        <f>OfficeForms.Table[[#This Row],[ต้อง Adjust หรือ คืนเงินลูกค้าทางช่องทางใด]]</f>
        <v>0</v>
      </c>
      <c r="V103" s="19" t="str">
        <f>OfficeForms.Table[[#This Row],[ชื่อรายการที่ต้องคืน และมูลค่า (รวม VAT)]]</f>
        <v>ยอดรวม 4892.8</v>
      </c>
      <c r="X103" s="19" t="s">
        <v>1133</v>
      </c>
      <c r="Y103" s="18">
        <v>45944</v>
      </c>
    </row>
    <row r="104" spans="1:25" ht="28.5" hidden="1" customHeight="1">
      <c r="A104" s="19">
        <f>OfficeForms.Table[[#This Row],[Id]]</f>
        <v>106</v>
      </c>
      <c r="B104" s="18">
        <f>OfficeForms.Table[[#This Row],[Start time]]</f>
        <v>45951.388356481497</v>
      </c>
      <c r="C104" s="18">
        <f>OfficeForms.Table[[#This Row],[Completion time]]</f>
        <v>45951.390659722201</v>
      </c>
      <c r="D104" s="19" t="str">
        <f>OfficeForms.Table[[#This Row],[Email]]</f>
        <v>anonymous</v>
      </c>
      <c r="E104" s="19">
        <f>OfficeForms.Table[[#This Row],[Name]]</f>
        <v>0</v>
      </c>
      <c r="F104" s="19" t="str">
        <f>OfficeForms.Table[[#This Row],[สาขาที่เข้ารับบริการ]]</f>
        <v>สาขาทองหล่อ</v>
      </c>
      <c r="G104" s="18">
        <f>OfficeForms.Table[[#This Row],[วันที่เกิดเหตุ]]</f>
        <v>45950</v>
      </c>
      <c r="H104" s="19" t="str">
        <f>OfficeForms.Table[[#This Row],[ชื่อสัตว์เลี้ยง หรือ HN สัตว์เลี้ยง]]</f>
        <v>อองรี</v>
      </c>
      <c r="I104" s="19" t="str">
        <f>OfficeForms.Table[[#This Row],[ชื่อผู้ร้องเรียน]]</f>
        <v>พิศุทธิ์</v>
      </c>
      <c r="J104" s="19" t="str">
        <f>OfficeForms.Table[[#This Row],[เบอร์โทรศัพท์ผู้ร้องเรียน]]</f>
        <v>0963514151</v>
      </c>
      <c r="K104" s="19" t="str">
        <f>OfficeForms.Table[[#This Row],[หน่วยงานที่ถูกร้องเรียน]]</f>
        <v>VET</v>
      </c>
      <c r="L104" s="19" t="str">
        <f>OfficeForms.Table[[#This Row],[กระบวนการที่ถูก Complain]]</f>
        <v>การประสานงานภายใน</v>
      </c>
      <c r="M104" s="19" t="str">
        <f>OfficeForms.Table[[#This Row],[รายละเอียดข้อร้องเรียน]]</f>
        <v>แมวมีอาการอาเจียน 4รอบ แจ้งทางโรงพยาบาลให้หมอโทรกลับ เพราะกังวลและอยากทราบว่าควรมา Admit  หรือไม่ รอทั้งคืนไม่มีใครติดต่อมา ไม่แน่ใจว่าถ้าไม่พร้อมให้บริการจะเปิด 24ชั่วโมงทำไมหรอครับ ถ้าใช้คำพูดของลูกค้าตรงๆอีก 1 ประโยคคือ "แค่ Simple operation ยังทำไม่ได้ จะไปทำอะไรได้ครับ"</v>
      </c>
      <c r="N104" s="19" t="str">
        <f>OfficeForms.Table[[#This Row],[การแก้ไขเบื้องต้น (ถ้ามี)]]</f>
        <v>-</v>
      </c>
      <c r="O104" s="19" t="str">
        <f>OfficeForms.Table[[#This Row],[รหัสพนักงานผู้รายงาน (เพื่อสอบถามข้อมูลเพิ่มเติม)]]</f>
        <v>0107</v>
      </c>
      <c r="P104" s="19" t="str">
        <f>OfficeForms.Table[[#This Row],[ชื่อพนักงานที่อยู่ในเหตุการณ์]]</f>
        <v>กัน</v>
      </c>
      <c r="Q104" s="19" t="str">
        <f>OfficeForms.Table[[#This Row],[ต้องคืนเงิน/ Credit note ลูกค้าหรือไม่]]</f>
        <v>ไม่ต้อง</v>
      </c>
      <c r="R104" s="19">
        <f>OfficeForms.Table[[#This Row],[Invoice'#/ Prepayment'#]]</f>
        <v>0</v>
      </c>
      <c r="S104" s="18">
        <f>OfficeForms.Table[[#This Row],[วันที่รับเงิน]]</f>
        <v>0</v>
      </c>
      <c r="T104" s="19">
        <f>OfficeForms.Table[[#This Row],[ชำระโดย]]</f>
        <v>0</v>
      </c>
      <c r="U104" s="19">
        <f>OfficeForms.Table[[#This Row],[ต้อง Adjust หรือ คืนเงินลูกค้าทางช่องทางใด]]</f>
        <v>0</v>
      </c>
      <c r="V104" s="19">
        <f>OfficeForms.Table[[#This Row],[ชื่อรายการที่ต้องคืน และมูลค่า (รวม VAT)]]</f>
        <v>0</v>
      </c>
      <c r="X104" s="19" t="s">
        <v>1133</v>
      </c>
      <c r="Y104" s="18">
        <v>45944</v>
      </c>
    </row>
    <row r="105" spans="1:25" ht="51" hidden="1" customHeight="1">
      <c r="A105" s="19">
        <f>OfficeForms.Table[[#This Row],[Id]]</f>
        <v>107</v>
      </c>
      <c r="B105" s="18">
        <f>OfficeForms.Table[[#This Row],[Start time]]</f>
        <v>45951.5323726852</v>
      </c>
      <c r="C105" s="18">
        <f>OfficeForms.Table[[#This Row],[Completion time]]</f>
        <v>45951.5370833333</v>
      </c>
      <c r="D105" s="19" t="str">
        <f>OfficeForms.Table[[#This Row],[Email]]</f>
        <v>anonymous</v>
      </c>
      <c r="E105" s="19">
        <f>OfficeForms.Table[[#This Row],[Name]]</f>
        <v>0</v>
      </c>
      <c r="F105" s="19" t="str">
        <f>OfficeForms.Table[[#This Row],[สาขาที่เข้ารับบริการ]]</f>
        <v>สาขาเชียงใหม่</v>
      </c>
      <c r="G105" s="18">
        <f>OfficeForms.Table[[#This Row],[วันที่เกิดเหตุ]]</f>
        <v>45887</v>
      </c>
      <c r="H105" s="19" t="str">
        <f>OfficeForms.Table[[#This Row],[ชื่อสัตว์เลี้ยง หรือ HN สัตว์เลี้ยง]]</f>
        <v xml:space="preserve">Mocha (14466) </v>
      </c>
      <c r="I105" s="19" t="str">
        <f>OfficeForms.Table[[#This Row],[ชื่อผู้ร้องเรียน]]</f>
        <v>มนต์สนันตน์ วิทยพานิช</v>
      </c>
      <c r="J105" s="19" t="str">
        <f>OfficeForms.Table[[#This Row],[เบอร์โทรศัพท์ผู้ร้องเรียน]]</f>
        <v>+66 92 264 3838</v>
      </c>
      <c r="K105" s="19" t="str">
        <f>OfficeForms.Table[[#This Row],[หน่วยงานที่ถูกร้องเรียน]]</f>
        <v>NURSE IPD</v>
      </c>
      <c r="L105" s="19" t="str">
        <f>OfficeForms.Table[[#This Row],[กระบวนการที่ถูก Complain]]</f>
        <v>การดูแล/รักษาผู้ป่วย - IPD</v>
      </c>
      <c r="M105" s="29" t="str">
        <f>OfficeForms.Table[[#This Row],[รายละเอียดข้อร้องเรียน]]</f>
        <v xml:space="preserve">สัตว์มีอาการภูมิแพ้ทางผิวหนังกำเริบในระหว่างที่ฝากเลี้ยง Hotel (มียาป้อนเป็น prednisolone อยู่) เจ้าของแจ้งว่าเกิดจากการดูแลรักษาความสะอาดที่ไม่เหมาะสม และให้อาหารไม่ตามคำสั่งของเจ้าของ </v>
      </c>
      <c r="N105" s="19" t="str">
        <f>OfficeForms.Table[[#This Row],[การแก้ไขเบื้องต้น (ถ้ามี)]]</f>
        <v xml:space="preserve">ทำความสะอาดและเสนอแนวทางการรักษาให้ แต่เจ้าของปฏิเสธและเลือกที่จะไปรักษากับ รพ. ที่รักษาประจำ </v>
      </c>
      <c r="O105" s="19" t="str">
        <f>OfficeForms.Table[[#This Row],[รหัสพนักงานผู้รายงาน (เพื่อสอบถามข้อมูลเพิ่มเติม)]]</f>
        <v>1021</v>
      </c>
      <c r="P105" s="19" t="str">
        <f>OfficeForms.Table[[#This Row],[ชื่อพนักงานที่อยู่ในเหตุการณ์]]</f>
        <v>หมอทราย</v>
      </c>
      <c r="Q105" s="19" t="str">
        <f>OfficeForms.Table[[#This Row],[ต้องคืนเงิน/ Credit note ลูกค้าหรือไม่]]</f>
        <v>ไม่ต้อง</v>
      </c>
      <c r="R105" s="19">
        <f>OfficeForms.Table[[#This Row],[Invoice'#/ Prepayment'#]]</f>
        <v>0</v>
      </c>
      <c r="S105" s="18">
        <f>OfficeForms.Table[[#This Row],[วันที่รับเงิน]]</f>
        <v>0</v>
      </c>
      <c r="T105" s="19">
        <f>OfficeForms.Table[[#This Row],[ชำระโดย]]</f>
        <v>0</v>
      </c>
      <c r="U105" s="19">
        <f>OfficeForms.Table[[#This Row],[ต้อง Adjust หรือ คืนเงินลูกค้าทางช่องทางใด]]</f>
        <v>0</v>
      </c>
      <c r="V105" s="19">
        <f>OfficeForms.Table[[#This Row],[ชื่อรายการที่ต้องคืน และมูลค่า (รวม VAT)]]</f>
        <v>0</v>
      </c>
      <c r="X105" s="19" t="s">
        <v>1131</v>
      </c>
      <c r="Y105" s="18">
        <v>45951</v>
      </c>
    </row>
    <row r="106" spans="1:25" ht="108" hidden="1" customHeight="1">
      <c r="A106" s="19">
        <f>OfficeForms.Table[[#This Row],[Id]]</f>
        <v>108</v>
      </c>
      <c r="B106" s="18">
        <f>OfficeForms.Table[[#This Row],[Start time]]</f>
        <v>45951.537152777797</v>
      </c>
      <c r="C106" s="18">
        <f>OfficeForms.Table[[#This Row],[Completion time]]</f>
        <v>45951.543240740699</v>
      </c>
      <c r="D106" s="19" t="str">
        <f>OfficeForms.Table[[#This Row],[Email]]</f>
        <v>anonymous</v>
      </c>
      <c r="E106" s="19">
        <f>OfficeForms.Table[[#This Row],[Name]]</f>
        <v>0</v>
      </c>
      <c r="F106" s="19" t="str">
        <f>OfficeForms.Table[[#This Row],[สาขาที่เข้ารับบริการ]]</f>
        <v>สาขาเชียงใหม่</v>
      </c>
      <c r="G106" s="18">
        <f>OfficeForms.Table[[#This Row],[วันที่เกิดเหตุ]]</f>
        <v>45796</v>
      </c>
      <c r="H106" s="19" t="str">
        <f>OfficeForms.Table[[#This Row],[ชื่อสัตว์เลี้ยง หรือ HN สัตว์เลี้ยง]]</f>
        <v>-</v>
      </c>
      <c r="I106" s="19" t="str">
        <f>OfficeForms.Table[[#This Row],[ชื่อผู้ร้องเรียน]]</f>
        <v>ยังไม่เคยมาใช้บริการ</v>
      </c>
      <c r="J106" s="19" t="str">
        <f>OfficeForms.Table[[#This Row],[เบอร์โทรศัพท์ผู้ร้องเรียน]]</f>
        <v>0946236624</v>
      </c>
      <c r="K106" s="19" t="str">
        <f>OfficeForms.Table[[#This Row],[หน่วยงานที่ถูกร้องเรียน]]</f>
        <v>FRONT</v>
      </c>
      <c r="L106" s="19" t="str">
        <f>OfficeForms.Table[[#This Row],[กระบวนการที่ถูก Complain]]</f>
        <v>การสื่อสารด้าน Non-Clinical</v>
      </c>
      <c r="M106" s="19" t="str">
        <f>OfficeForms.Table[[#This Row],[รายละเอียดข้อร้องเรียน]]</f>
        <v>เจ้าขอโทรเข้ามา 04.38 น. เพื่อสอบถามจะนำสัตว์ป่วยเข้ามารักษา แต่พนักงานที่รับสายมีน้ำเสียงงัวเงียเหมือนเพิ่งตื่นนอน และพนักงานอีกคนถามกลับว่าสะดวกมาช่วงเช้าไหม เจ้าของรู้สึกไม่พอใจเนื่องจากสัตว์มีอาการอาเจียน 10 กว่ารอบซึ่งเจ้าของรอดูอาการแล้วไม่ดีเลยอยากพามา</v>
      </c>
      <c r="N106" s="19" t="str">
        <f>OfficeForms.Table[[#This Row],[การแก้ไขเบื้องต้น (ถ้ามี)]]</f>
        <v>โทรสอบถามเพิ่มเติม และอธิบายให้ข้อมูลเจ้าของเพิ่ม เจ้าของรับฟัง</v>
      </c>
      <c r="O106" s="19" t="str">
        <f>OfficeForms.Table[[#This Row],[รหัสพนักงานผู้รายงาน (เพื่อสอบถามข้อมูลเพิ่มเติม)]]</f>
        <v>1021</v>
      </c>
      <c r="P106" s="19" t="str">
        <f>OfficeForms.Table[[#This Row],[ชื่อพนักงานที่อยู่ในเหตุการณ์]]</f>
        <v>0116</v>
      </c>
      <c r="Q106" s="19" t="str">
        <f>OfficeForms.Table[[#This Row],[ต้องคืนเงิน/ Credit note ลูกค้าหรือไม่]]</f>
        <v>ไม่ต้อง</v>
      </c>
      <c r="R106" s="19">
        <f>OfficeForms.Table[[#This Row],[Invoice'#/ Prepayment'#]]</f>
        <v>0</v>
      </c>
      <c r="S106" s="19">
        <f>OfficeForms.Table[[#This Row],[วันที่รับเงิน]]</f>
        <v>0</v>
      </c>
      <c r="T106" s="19">
        <f>OfficeForms.Table[[#This Row],[ชำระโดย]]</f>
        <v>0</v>
      </c>
      <c r="U106" s="19">
        <f>OfficeForms.Table[[#This Row],[ต้อง Adjust หรือ คืนเงินลูกค้าทางช่องทางใด]]</f>
        <v>0</v>
      </c>
      <c r="V106" s="19">
        <f>OfficeForms.Table[[#This Row],[ชื่อรายการที่ต้องคืน และมูลค่า (รวม VAT)]]</f>
        <v>0</v>
      </c>
      <c r="X106" s="19" t="s">
        <v>1128</v>
      </c>
      <c r="Y106" s="19"/>
    </row>
    <row r="107" spans="1:25" ht="28.5" hidden="1" customHeight="1">
      <c r="A107" s="19">
        <f>OfficeForms.Table[[#This Row],[Id]]</f>
        <v>109</v>
      </c>
      <c r="B107" s="18">
        <f>OfficeForms.Table[[#This Row],[Start time]]</f>
        <v>45951.543275463002</v>
      </c>
      <c r="C107" s="18">
        <f>OfficeForms.Table[[#This Row],[Completion time]]</f>
        <v>45951.549803240698</v>
      </c>
      <c r="D107" s="19" t="str">
        <f>OfficeForms.Table[[#This Row],[Email]]</f>
        <v>anonymous</v>
      </c>
      <c r="E107" s="19">
        <f>OfficeForms.Table[[#This Row],[Name]]</f>
        <v>0</v>
      </c>
      <c r="F107" s="19" t="str">
        <f>OfficeForms.Table[[#This Row],[สาขาที่เข้ารับบริการ]]</f>
        <v>สาขาเชียงใหม่</v>
      </c>
      <c r="G107" s="18">
        <f>OfficeForms.Table[[#This Row],[วันที่เกิดเหตุ]]</f>
        <v>45907</v>
      </c>
      <c r="H107" s="19" t="str">
        <f>OfficeForms.Table[[#This Row],[ชื่อสัตว์เลี้ยง หรือ HN สัตว์เลี้ยง]]</f>
        <v>Mars (10330)</v>
      </c>
      <c r="I107" s="19" t="str">
        <f>OfficeForms.Table[[#This Row],[ชื่อผู้ร้องเรียน]]</f>
        <v xml:space="preserve"> Dallar (Shears)</v>
      </c>
      <c r="J107" s="19" t="str">
        <f>OfficeForms.Table[[#This Row],[เบอร์โทรศัพท์ผู้ร้องเรียน]]</f>
        <v xml:space="preserve"> +66 61 021 3734</v>
      </c>
      <c r="K107" s="19" t="str">
        <f>OfficeForms.Table[[#This Row],[หน่วยงานที่ถูกร้องเรียน]]</f>
        <v>.Back Office/Support</v>
      </c>
      <c r="L107" s="19" t="str">
        <f>OfficeForms.Table[[#This Row],[กระบวนการที่ถูก Complain]]</f>
        <v>ค่าใช้จ่าย</v>
      </c>
      <c r="M107" s="19" t="str">
        <f>OfficeForms.Table[[#This Row],[รายละเอียดข้อร้องเรียน]]</f>
        <v>เจ้าของไม่พอใจเรื่องการคิดค่าบริการที่ไม่ชัดเจน (แค่มาตัดเล็บแต่ทำไมต้องคิดค่าบริการโรงพยาบาลและต้องนัดเจอหมอ) สัตว์ค่อนข้างดิ้นและไม่ยอมให้ทำง่าย ๆ ต้องใช้เจ้าของผู้ชายและผู้ช่วยผู้ชายช่วยกันจับบังคับ และในระหว่างตัดสัตว์ดิ้นมากทำให้มีบางเล็บมีเลือดออก ช่างได้ใช้ผงห้ามเลือดห้ามจนแน่ใจว่าเลือดหยุดไหลแล้วและหลังจากตัดเล็บเจ้าของพาสุนัขเดินกลับระยะทางประมาณ 1 กม. หลังจากนั้นก็มีเลือดไหลอีกเจ้าของเลยไปโพสต์ลงใน google review</v>
      </c>
      <c r="N107" s="19" t="str">
        <f>OfficeForms.Table[[#This Row],[การแก้ไขเบื้องต้น (ถ้ามี)]]</f>
        <v>โทรไปสอบถามอาการสัตว์เพิ่มเติม แต่เจ้าของด่าหยาบคายและแจ้งว่าไม่ต้องติดต่อกลับมาอีก</v>
      </c>
      <c r="O107" s="19" t="str">
        <f>OfficeForms.Table[[#This Row],[รหัสพนักงานผู้รายงาน (เพื่อสอบถามข้อมูลเพิ่มเติม)]]</f>
        <v>1021</v>
      </c>
      <c r="P107" s="19" t="str">
        <f>OfficeForms.Table[[#This Row],[ชื่อพนักงานที่อยู่ในเหตุการณ์]]</f>
        <v>0117</v>
      </c>
      <c r="Q107" s="19" t="str">
        <f>OfficeForms.Table[[#This Row],[ต้องคืนเงิน/ Credit note ลูกค้าหรือไม่]]</f>
        <v>ไม่ต้อง</v>
      </c>
      <c r="R107" s="19">
        <f>OfficeForms.Table[[#This Row],[Invoice'#/ Prepayment'#]]</f>
        <v>0</v>
      </c>
      <c r="S107" s="19">
        <f>OfficeForms.Table[[#This Row],[วันที่รับเงิน]]</f>
        <v>0</v>
      </c>
      <c r="T107" s="19">
        <f>OfficeForms.Table[[#This Row],[ชำระโดย]]</f>
        <v>0</v>
      </c>
      <c r="U107" s="19">
        <f>OfficeForms.Table[[#This Row],[ต้อง Adjust หรือ คืนเงินลูกค้าทางช่องทางใด]]</f>
        <v>0</v>
      </c>
      <c r="V107" s="19">
        <f>OfficeForms.Table[[#This Row],[ชื่อรายการที่ต้องคืน และมูลค่า (รวม VAT)]]</f>
        <v>0</v>
      </c>
      <c r="Y107" s="19"/>
    </row>
    <row r="108" spans="1:25" ht="28.5" hidden="1" customHeight="1">
      <c r="A108" s="19">
        <f>OfficeForms.Table[[#This Row],[Id]]</f>
        <v>110</v>
      </c>
      <c r="B108" s="18">
        <f>OfficeForms.Table[[#This Row],[Start time]]</f>
        <v>45951.549918981502</v>
      </c>
      <c r="C108" s="18">
        <f>OfficeForms.Table[[#This Row],[Completion time]]</f>
        <v>45951.568599537</v>
      </c>
      <c r="D108" s="19" t="str">
        <f>OfficeForms.Table[[#This Row],[Email]]</f>
        <v>anonymous</v>
      </c>
      <c r="E108" s="19">
        <f>OfficeForms.Table[[#This Row],[Name]]</f>
        <v>0</v>
      </c>
      <c r="F108" s="19" t="str">
        <f>OfficeForms.Table[[#This Row],[สาขาที่เข้ารับบริการ]]</f>
        <v>สาขาเชียงใหม่</v>
      </c>
      <c r="G108" s="18">
        <f>OfficeForms.Table[[#This Row],[วันที่เกิดเหตุ]]</f>
        <v>45911</v>
      </c>
      <c r="H108" s="19" t="str">
        <f>OfficeForms.Table[[#This Row],[ชื่อสัตว์เลี้ยง หรือ HN สัตว์เลี้ยง]]</f>
        <v>มีโชค (14653)</v>
      </c>
      <c r="I108" s="19" t="str">
        <f>OfficeForms.Table[[#This Row],[ชื่อผู้ร้องเรียน]]</f>
        <v xml:space="preserve">อิสรออิง มะลี  (10422) </v>
      </c>
      <c r="J108" s="19" t="str">
        <f>OfficeForms.Table[[#This Row],[เบอร์โทรศัพท์ผู้ร้องเรียน]]</f>
        <v>+66 84 731 9631  มีโชค (14653)</v>
      </c>
      <c r="K108" s="19" t="str">
        <f>OfficeForms.Table[[#This Row],[หน่วยงานที่ถูกร้องเรียน]]</f>
        <v>VET</v>
      </c>
      <c r="L108" s="19" t="str">
        <f>OfficeForms.Table[[#This Row],[กระบวนการที่ถูก Complain]]</f>
        <v>การสื่อสารด้าน Clinical</v>
      </c>
      <c r="M108" s="19" t="str">
        <f>OfficeForms.Table[[#This Row],[รายละเอียดข้อร้องเรียน]]</f>
        <v>แมวมาด้วยอาการจับตามตัวแล้วมีอาการเจ็บ ให้ข้อมูลไม่ชัดเจน หมอ x-ray แจ้งว่าเป็น OA เลยนัดให้มาตรวจกับหมอเฉพาะทาง แต่หลังจากนั้นพบว่าเป็นฝี</v>
      </c>
      <c r="N108" s="19" t="str">
        <f>OfficeForms.Table[[#This Row],[การแก้ไขเบื้องต้น (ถ้ามี)]]</f>
        <v>ติดต่อให้พากลับมาตรวจ แต่เจ้าของไปรักษาที่อื่นแล้ว</v>
      </c>
      <c r="O108" s="19" t="str">
        <f>OfficeForms.Table[[#This Row],[รหัสพนักงานผู้รายงาน (เพื่อสอบถามข้อมูลเพิ่มเติม)]]</f>
        <v>1021</v>
      </c>
      <c r="P108" s="19" t="str">
        <f>OfficeForms.Table[[#This Row],[ชื่อพนักงานที่อยู่ในเหตุการณ์]]</f>
        <v>หมอโบ๊ท</v>
      </c>
      <c r="Q108" s="19" t="str">
        <f>OfficeForms.Table[[#This Row],[ต้องคืนเงิน/ Credit note ลูกค้าหรือไม่]]</f>
        <v>ไม่ต้อง</v>
      </c>
      <c r="R108" s="19">
        <f>OfficeForms.Table[[#This Row],[Invoice'#/ Prepayment'#]]</f>
        <v>0</v>
      </c>
      <c r="S108" s="19">
        <f>OfficeForms.Table[[#This Row],[วันที่รับเงิน]]</f>
        <v>0</v>
      </c>
      <c r="T108" s="19">
        <f>OfficeForms.Table[[#This Row],[ชำระโดย]]</f>
        <v>0</v>
      </c>
      <c r="U108" s="19">
        <f>OfficeForms.Table[[#This Row],[ต้อง Adjust หรือ คืนเงินลูกค้าทางช่องทางใด]]</f>
        <v>0</v>
      </c>
      <c r="V108" s="19">
        <f>OfficeForms.Table[[#This Row],[ชื่อรายการที่ต้องคืน และมูลค่า (รวม VAT)]]</f>
        <v>0</v>
      </c>
      <c r="Y108" s="19"/>
    </row>
    <row r="109" spans="1:25" ht="28.5" hidden="1" customHeight="1">
      <c r="A109" s="19">
        <f>OfficeForms.Table[[#This Row],[Id]]</f>
        <v>111</v>
      </c>
      <c r="B109" s="18">
        <f>OfficeForms.Table[[#This Row],[Start time]]</f>
        <v>45952.615555555603</v>
      </c>
      <c r="C109" s="18">
        <f>OfficeForms.Table[[#This Row],[Completion time]]</f>
        <v>45952.617881944403</v>
      </c>
      <c r="D109" s="19" t="str">
        <f>OfficeForms.Table[[#This Row],[Email]]</f>
        <v>anonymous</v>
      </c>
      <c r="E109" s="19">
        <f>OfficeForms.Table[[#This Row],[Name]]</f>
        <v>0</v>
      </c>
      <c r="F109" s="19" t="str">
        <f>OfficeForms.Table[[#This Row],[สาขาที่เข้ารับบริการ]]</f>
        <v>สาขาหลังสวน</v>
      </c>
      <c r="G109" s="18">
        <f>OfficeForms.Table[[#This Row],[วันที่เกิดเหตุ]]</f>
        <v>45951</v>
      </c>
      <c r="H109" s="19" t="str">
        <f>OfficeForms.Table[[#This Row],[ชื่อสัตว์เลี้ยง หรือ HN สัตว์เลี้ยง]]</f>
        <v>คุมะ1200</v>
      </c>
      <c r="I109" s="19" t="str">
        <f>OfficeForms.Table[[#This Row],[ชื่อผู้ร้องเรียน]]</f>
        <v>คุณสิริกาญจน์</v>
      </c>
      <c r="J109" s="19" t="str">
        <f>OfficeForms.Table[[#This Row],[เบอร์โทรศัพท์ผู้ร้องเรียน]]</f>
        <v>0815713116</v>
      </c>
      <c r="K109" s="19" t="str">
        <f>OfficeForms.Table[[#This Row],[หน่วยงานที่ถูกร้องเรียน]]</f>
        <v>แม่บ้าน</v>
      </c>
      <c r="L109" s="19" t="str">
        <f>OfficeForms.Table[[#This Row],[กระบวนการที่ถูก Complain]]</f>
        <v>การดูแล/รักษาผู้ป่วย - IPD</v>
      </c>
      <c r="M109" s="19" t="str">
        <f>OfficeForms.Table[[#This Row],[รายละเอียดข้อร้องเรียน]]</f>
        <v>บริเวณปล่อยเดินขับถ่ายไม่สะอาด อาคารจะจุดที่เป็นอันตรายต่อสัตว์</v>
      </c>
      <c r="N109" s="19" t="str">
        <f>OfficeForms.Table[[#This Row],[การแก้ไขเบื้องต้น (ถ้ามี)]]</f>
        <v>ผจก โทรรีบข้อร้องเรียน แจ้งฝ่ายอาคารแก้ไข แจ้งแม่บ้านให้ปรับปรุงด้านความสะอาด</v>
      </c>
      <c r="O109" s="19" t="str">
        <f>OfficeForms.Table[[#This Row],[รหัสพนักงานผู้รายงาน (เพื่อสอบถามข้อมูลเพิ่มเติม)]]</f>
        <v>0226</v>
      </c>
      <c r="P109" s="19" t="str">
        <f>OfficeForms.Table[[#This Row],[ชื่อพนักงานที่อยู่ในเหตุการณ์]]</f>
        <v>นฤมล</v>
      </c>
      <c r="Q109" s="19" t="str">
        <f>OfficeForms.Table[[#This Row],[ต้องคืนเงิน/ Credit note ลูกค้าหรือไม่]]</f>
        <v>ไม่ต้อง</v>
      </c>
      <c r="R109" s="19">
        <f>OfficeForms.Table[[#This Row],[Invoice'#/ Prepayment'#]]</f>
        <v>0</v>
      </c>
      <c r="S109" s="19">
        <f>OfficeForms.Table[[#This Row],[วันที่รับเงิน]]</f>
        <v>0</v>
      </c>
      <c r="T109" s="19">
        <f>OfficeForms.Table[[#This Row],[ชำระโดย]]</f>
        <v>0</v>
      </c>
      <c r="U109" s="19">
        <f>OfficeForms.Table[[#This Row],[ต้อง Adjust หรือ คืนเงินลูกค้าทางช่องทางใด]]</f>
        <v>0</v>
      </c>
      <c r="V109" s="19">
        <f>OfficeForms.Table[[#This Row],[ชื่อรายการที่ต้องคืน และมูลค่า (รวม VAT)]]</f>
        <v>0</v>
      </c>
      <c r="Y109" s="19"/>
    </row>
    <row r="110" spans="1:25" ht="28.5" hidden="1" customHeight="1">
      <c r="A110" s="19">
        <f>OfficeForms.Table[[#This Row],[Id]]</f>
        <v>112</v>
      </c>
      <c r="B110" s="18">
        <f>OfficeForms.Table[[#This Row],[Start time]]</f>
        <v>45952.745127314804</v>
      </c>
      <c r="C110" s="18">
        <f>OfficeForms.Table[[#This Row],[Completion time]]</f>
        <v>45952.7490972222</v>
      </c>
      <c r="D110" s="19" t="str">
        <f>OfficeForms.Table[[#This Row],[Email]]</f>
        <v>anonymous</v>
      </c>
      <c r="E110" s="19">
        <f>OfficeForms.Table[[#This Row],[Name]]</f>
        <v>0</v>
      </c>
      <c r="F110" s="19" t="str">
        <f>OfficeForms.Table[[#This Row],[สาขาที่เข้ารับบริการ]]</f>
        <v>สาขาทองหล่อ</v>
      </c>
      <c r="G110" s="18">
        <f>OfficeForms.Table[[#This Row],[วันที่เกิดเหตุ]]</f>
        <v>45952</v>
      </c>
      <c r="H110" s="19" t="str">
        <f>OfficeForms.Table[[#This Row],[ชื่อสัตว์เลี้ยง หรือ HN สัตว์เลี้ยง]]</f>
        <v>-</v>
      </c>
      <c r="I110" s="19" t="str">
        <f>OfficeForms.Table[[#This Row],[ชื่อผู้ร้องเรียน]]</f>
        <v>Google review - เจ้าถุง ถุงทอง</v>
      </c>
      <c r="J110" s="19" t="str">
        <f>OfficeForms.Table[[#This Row],[เบอร์โทรศัพท์ผู้ร้องเรียน]]</f>
        <v>-</v>
      </c>
      <c r="K110" s="19" t="str">
        <f>OfficeForms.Table[[#This Row],[หน่วยงานที่ถูกร้องเรียน]]</f>
        <v>CASHIER</v>
      </c>
      <c r="L110" s="19" t="str">
        <f>OfficeForms.Table[[#This Row],[กระบวนการที่ถูก Complain]]</f>
        <v>การชำระค่ารักษาพยาบาล</v>
      </c>
      <c r="M110" s="19" t="str">
        <f>OfficeForms.Table[[#This Row],[รายละเอียดข้อร้องเรียน]]</f>
        <v>บริการ พอใช้ได้ นำสัตว์มารักษา ห้องพัก เตียงค่อนข้างสูง ถ้า สัตว์เราตัวใหญ่คงกระโดดขึ้นลงได้ แต่ก็ยังสูง ถ้าตัวเล็กหมดสิทธิ์ สัตว์จะลงไปฉี่ ลำบาก ในห้องนอน ไม่มี อะไรเลย มีแค่ตู้เย็น น้ำให้วันละ 3-4ขวด ห้องน้ำ มีแค่สบู่ล้างมือ และทิชชู่ เก็บเงินมัดจำล่วงหน้า ก่อนเข้าพัก แต่ยังไม่ได้เช็คเอ้าออกเลย รีบขึ้นมาเก็บเงิน ค่าพักค่ารักษาเกือบทั้งหมด เพิ่งเคยเจอเหมือนกัน พนักงาน ทำงาน กัน งงๆ มีรปภ รักษาความปลอดภัยแค่ 1 ท่าน แม่บ้าน อยู่ถึง 22.00 โรงพยาบาล สามารถ เดินเข้าออกได้เลย กดลิฟท์ขึ้นไปชั้นห้องพัก โดยไม่ต้องใช้คีการ์ด หรือ กุญแจใดๆ ห้องพัก นอนกับ สัตว์เลี้ยง คืนละ 2500 icu 880 รวมๆแล้วพอใช้ได้ แต่ยังไม่สมกับราคาที่ต้องจ่าย ส่วนหมอ น่ารักดี พูดจาดี พยาบาล ก็ทำงาน พอใช้ได้</v>
      </c>
      <c r="N110" s="19">
        <f>OfficeForms.Table[[#This Row],[การแก้ไขเบื้องต้น (ถ้ามี)]]</f>
        <v>0</v>
      </c>
      <c r="O110" s="19" t="str">
        <f>OfficeForms.Table[[#This Row],[รหัสพนักงานผู้รายงาน (เพื่อสอบถามข้อมูลเพิ่มเติม)]]</f>
        <v>0305</v>
      </c>
      <c r="P110" s="19" t="str">
        <f>OfficeForms.Table[[#This Row],[ชื่อพนักงานที่อยู่ในเหตุการณ์]]</f>
        <v>-</v>
      </c>
      <c r="Q110" s="19" t="str">
        <f>OfficeForms.Table[[#This Row],[ต้องคืนเงิน/ Credit note ลูกค้าหรือไม่]]</f>
        <v>ไม่ต้อง</v>
      </c>
      <c r="R110" s="19">
        <f>OfficeForms.Table[[#This Row],[Invoice'#/ Prepayment'#]]</f>
        <v>0</v>
      </c>
      <c r="S110" s="19">
        <f>OfficeForms.Table[[#This Row],[วันที่รับเงิน]]</f>
        <v>0</v>
      </c>
      <c r="T110" s="19">
        <f>OfficeForms.Table[[#This Row],[ชำระโดย]]</f>
        <v>0</v>
      </c>
      <c r="U110" s="19">
        <f>OfficeForms.Table[[#This Row],[ต้อง Adjust หรือ คืนเงินลูกค้าทางช่องทางใด]]</f>
        <v>0</v>
      </c>
      <c r="V110" s="19">
        <f>OfficeForms.Table[[#This Row],[ชื่อรายการที่ต้องคืน และมูลค่า (รวม VAT)]]</f>
        <v>0</v>
      </c>
      <c r="Y110" s="19"/>
    </row>
    <row r="111" spans="1:25" ht="28.5" hidden="1" customHeight="1">
      <c r="A111" s="19">
        <f>OfficeForms.Table[[#This Row],[Id]]</f>
        <v>113</v>
      </c>
      <c r="B111" s="18">
        <f>OfficeForms.Table[[#This Row],[Start time]]</f>
        <v>45954.362847222197</v>
      </c>
      <c r="C111" s="18">
        <f>OfficeForms.Table[[#This Row],[Completion time]]</f>
        <v>45954.371643518498</v>
      </c>
      <c r="D111" s="19" t="str">
        <f>OfficeForms.Table[[#This Row],[Email]]</f>
        <v>anonymous</v>
      </c>
      <c r="E111" s="19">
        <f>OfficeForms.Table[[#This Row],[Name]]</f>
        <v>0</v>
      </c>
      <c r="F111" s="19" t="str">
        <f>OfficeForms.Table[[#This Row],[สาขาที่เข้ารับบริการ]]</f>
        <v>สาขาทองหล่อ</v>
      </c>
      <c r="G111" s="18">
        <f>OfficeForms.Table[[#This Row],[วันที่เกิดเหตุ]]</f>
        <v>45952</v>
      </c>
      <c r="H111" s="19" t="str">
        <f>OfficeForms.Table[[#This Row],[ชื่อสัตว์เลี้ยง หรือ HN สัตว์เลี้ยง]]</f>
        <v>ชาล็อต (17136),อาร์โนลด์(15170)</v>
      </c>
      <c r="I111" s="19" t="str">
        <f>OfficeForms.Table[[#This Row],[ชื่อผู้ร้องเรียน]]</f>
        <v>นันทิกานต์  สิงหา</v>
      </c>
      <c r="J111" s="19" t="str">
        <f>OfficeForms.Table[[#This Row],[เบอร์โทรศัพท์ผู้ร้องเรียน]]</f>
        <v>0846626635</v>
      </c>
      <c r="K111" s="19" t="str">
        <f>OfficeForms.Table[[#This Row],[หน่วยงานที่ถูกร้องเรียน]]</f>
        <v>PHARMACY</v>
      </c>
      <c r="L111" s="19" t="str">
        <f>OfficeForms.Table[[#This Row],[กระบวนการที่ถูก Complain]]</f>
        <v>การชำระค่ารักษาพยาบาล</v>
      </c>
      <c r="M111" s="19" t="str">
        <f>OfficeForms.Table[[#This Row],[รายละเอียดข้อร้องเรียน]]</f>
        <v>ค่าใช้จ่ายของอาร์โนลด์ (15170)เท่ากับ 10,006 บาท , ค่าใช้จ่ายของชาล็อต (17136)เท่ากับ 9,833.64 บาท รวมทั้งหมดจะเท่ากับ 19,839.64 บาท แต่ลูกค้าจ่ายเงินค่ามัดจำมาไว้แล้วตัวละ 6,500 บาทจะเท่ากับ 13,000 บาท ซึ่งจริงๆแล้วจะต้องเก็บเงินลูกค้าเพิ่ม 6,839.64 บาท แต่เก็บเงินลูกค้าราคาเต็มทำให้ต้องโอนเงินคืนเข้าบัญชีลูกค้าจำนวน 13,000 บาทค่ะ</v>
      </c>
      <c r="N111" s="19">
        <f>OfficeForms.Table[[#This Row],[การแก้ไขเบื้องต้น (ถ้ามี)]]</f>
        <v>0</v>
      </c>
      <c r="O111" s="19" t="str">
        <f>OfficeForms.Table[[#This Row],[รหัสพนักงานผู้รายงาน (เพื่อสอบถามข้อมูลเพิ่มเติม)]]</f>
        <v>0276</v>
      </c>
      <c r="P111" s="19" t="str">
        <f>OfficeForms.Table[[#This Row],[ชื่อพนักงานที่อยู่ในเหตุการณ์]]</f>
        <v>เมทินี  ปานช่วย</v>
      </c>
      <c r="Q111" s="19" t="str">
        <f>OfficeForms.Table[[#This Row],[ต้องคืนเงิน/ Credit note ลูกค้าหรือไม่]]</f>
        <v>ต้อง</v>
      </c>
      <c r="R111" s="19" t="str">
        <f>OfficeForms.Table[[#This Row],[Invoice'#/ Prepayment'#]]</f>
        <v>20250022161/20250022160</v>
      </c>
      <c r="S111" s="19">
        <f>OfficeForms.Table[[#This Row],[วันที่รับเงิน]]</f>
        <v>45952</v>
      </c>
      <c r="T111" s="19" t="str">
        <f>OfficeForms.Table[[#This Row],[ชำระโดย]]</f>
        <v>Credit card</v>
      </c>
      <c r="U111" s="19" t="str">
        <f>OfficeForms.Table[[#This Row],[ต้อง Adjust หรือ คืนเงินลูกค้าทางช่องทางใด]]</f>
        <v>คืนเงินลูกค้า (โอนคืน)</v>
      </c>
      <c r="V111" s="19" t="str">
        <f>OfficeForms.Table[[#This Row],[ชื่อรายการที่ต้องคืน และมูลค่า (รวม VAT)]]</f>
        <v>นันทิกานต์  สิงหา  ธนาคารกสิกรไทย 777-2-33858-3</v>
      </c>
      <c r="Y111" s="19"/>
    </row>
    <row r="112" spans="1:25" ht="66.75" hidden="1" customHeight="1">
      <c r="A112" s="19">
        <f>OfficeForms.Table[[#This Row],[Id]]</f>
        <v>114</v>
      </c>
      <c r="B112" s="18">
        <f>OfficeForms.Table[[#This Row],[Start time]]</f>
        <v>45959.444155092599</v>
      </c>
      <c r="C112" s="18">
        <f>OfficeForms.Table[[#This Row],[Completion time]]</f>
        <v>45959.451562499999</v>
      </c>
      <c r="D112" s="19" t="str">
        <f>OfficeForms.Table[[#This Row],[Email]]</f>
        <v>anonymous</v>
      </c>
      <c r="E112" s="19">
        <f>OfficeForms.Table[[#This Row],[Name]]</f>
        <v>0</v>
      </c>
      <c r="F112" s="19" t="str">
        <f>OfficeForms.Table[[#This Row],[สาขาที่เข้ารับบริการ]]</f>
        <v>สาขาทองหล่อ</v>
      </c>
      <c r="G112" s="18">
        <f>OfficeForms.Table[[#This Row],[วันที่เกิดเหตุ]]</f>
        <v>45957</v>
      </c>
      <c r="H112" s="19" t="str">
        <f>OfficeForms.Table[[#This Row],[ชื่อสัตว์เลี้ยง หรือ HN สัตว์เลี้ยง]]</f>
        <v>Shiro HN.1497</v>
      </c>
      <c r="I112" s="19" t="str">
        <f>OfficeForms.Table[[#This Row],[ชื่อผู้ร้องเรียน]]</f>
        <v>คุณพิณวรรณ</v>
      </c>
      <c r="J112" s="19" t="str">
        <f>OfficeForms.Table[[#This Row],[เบอร์โทรศัพท์ผู้ร้องเรียน]]</f>
        <v>0873360699</v>
      </c>
      <c r="K112" s="19" t="str">
        <f>OfficeForms.Table[[#This Row],[หน่วยงานที่ถูกร้องเรียน]]</f>
        <v>VET</v>
      </c>
      <c r="L112" s="19" t="str">
        <f>OfficeForms.Table[[#This Row],[กระบวนการที่ถูก Complain]]</f>
        <v>การสื่อสารด้าน Clinical</v>
      </c>
      <c r="M112" s="19" t="str">
        <f>OfficeForms.Table[[#This Row],[รายละเอียดข้อร้องเรียน]]</f>
        <v>ได้มาตรวจสุขภาพตามPackage Health Check ราคา 3,500 บาทไปวันที่12/7/68 รายการที่ส่งมาให้มีตรวจพยาธิหนอนหัวใจ แต่หมอSAN โทรมาแจ้งว่าไม่ได้ตรวจไปในรอบแรก รอบสองโทรมาบอกว่าตรวจ ทำให้รู้สึกไม่มั่นใจว่าน้องได้รับการตรวจจริงไหม และการตรวจพยาธิหนอนหัวใจยังใช้วิธีการตรวจที่ไม่100% อีก ทำให้รู้สึกว่าPackage นี้กำกวม ไม่บอกลูกค้าให้หมด</v>
      </c>
      <c r="N112" s="19" t="str">
        <f>OfficeForms.Table[[#This Row],[การแก้ไขเบื้องต้น (ถ้ามี)]]</f>
        <v>ให้น้องมาตรวจกับหมอAL (หัวหน้าหมอ)และให้หมออธิบายเรื่องการรักษาที่ผ่านมาอีกรอบ และวางแผนการรักษาต่อไป ครั้งนี้ไม่ได้คิดค่าใช้จ่ายในการรักษา</v>
      </c>
      <c r="O112" s="19" t="str">
        <f>OfficeForms.Table[[#This Row],[รหัสพนักงานผู้รายงาน (เพื่อสอบถามข้อมูลเพิ่มเติม)]]</f>
        <v>0190</v>
      </c>
      <c r="P112" s="19" t="str">
        <f>OfficeForms.Table[[#This Row],[ชื่อพนักงานที่อยู่ในเหตุการณ์]]</f>
        <v>รวิวรรณ</v>
      </c>
      <c r="Q112" s="19" t="str">
        <f>OfficeForms.Table[[#This Row],[ต้องคืนเงิน/ Credit note ลูกค้าหรือไม่]]</f>
        <v>ไม่ต้อง</v>
      </c>
      <c r="R112" s="19">
        <f>OfficeForms.Table[[#This Row],[Invoice'#/ Prepayment'#]]</f>
        <v>0</v>
      </c>
      <c r="S112" s="18">
        <f>OfficeForms.Table[[#This Row],[วันที่รับเงิน]]</f>
        <v>0</v>
      </c>
      <c r="T112" s="19">
        <f>OfficeForms.Table[[#This Row],[ชำระโดย]]</f>
        <v>0</v>
      </c>
      <c r="U112" s="19">
        <f>OfficeForms.Table[[#This Row],[ต้อง Adjust หรือ คืนเงินลูกค้าทางช่องทางใด]]</f>
        <v>0</v>
      </c>
      <c r="V112" s="19">
        <f>OfficeForms.Table[[#This Row],[ชื่อรายการที่ต้องคืน และมูลค่า (รวม VAT)]]</f>
        <v>0</v>
      </c>
      <c r="X112" s="19" t="s">
        <v>1125</v>
      </c>
    </row>
    <row r="113" spans="1:22" ht="54.75" hidden="1" customHeight="1">
      <c r="A113" s="19">
        <f>OfficeForms.Table[[#This Row],[Id]]</f>
        <v>115</v>
      </c>
      <c r="B113" s="18">
        <f>OfficeForms.Table[[#This Row],[Start time]]</f>
        <v>45959.452118055597</v>
      </c>
      <c r="C113" s="18">
        <f>OfficeForms.Table[[#This Row],[Completion time]]</f>
        <v>45959.455844907403</v>
      </c>
      <c r="D113" s="19" t="str">
        <f>OfficeForms.Table[[#This Row],[Email]]</f>
        <v>anonymous</v>
      </c>
      <c r="E113" s="19">
        <f>OfficeForms.Table[[#This Row],[Name]]</f>
        <v>0</v>
      </c>
      <c r="F113" s="19" t="str">
        <f>OfficeForms.Table[[#This Row],[สาขาที่เข้ารับบริการ]]</f>
        <v>สาขาทองหล่อ</v>
      </c>
      <c r="G113" s="18">
        <f>OfficeForms.Table[[#This Row],[วันที่เกิดเหตุ]]</f>
        <v>45957</v>
      </c>
      <c r="H113" s="19" t="str">
        <f>OfficeForms.Table[[#This Row],[ชื่อสัตว์เลี้ยง หรือ HN สัตว์เลี้ยง]]</f>
        <v>เฉลิม 7419</v>
      </c>
      <c r="I113" s="19" t="str">
        <f>OfficeForms.Table[[#This Row],[ชื่อผู้ร้องเรียน]]</f>
        <v>คุณเอกนภา</v>
      </c>
      <c r="J113" s="19" t="str">
        <f>OfficeForms.Table[[#This Row],[เบอร์โทรศัพท์ผู้ร้องเรียน]]</f>
        <v>0809456365</v>
      </c>
      <c r="K113" s="19" t="str">
        <f>OfficeForms.Table[[#This Row],[หน่วยงานที่ถูกร้องเรียน]]</f>
        <v>VET</v>
      </c>
      <c r="L113" s="19" t="str">
        <f>OfficeForms.Table[[#This Row],[กระบวนการที่ถูก Complain]]</f>
        <v>การดูแล/รักษาผู้ป่วย - OPD</v>
      </c>
      <c r="M113" s="19" t="str">
        <f>OfficeForms.Table[[#This Row],[รายละเอียดข้อร้องเรียน]]</f>
        <v>น้องมีนัดฉีดวัคซีนรวมประจำปี แต่หมอNNติดต่อลูกค้าไม่ได้ และดูในสมุดวัคซีนว่าน้องเคยฉีด 2 เข็ม เลยฉีดไปให้ 2 เข็ม จึงทำให้น้องแพ้วัคซีน อาเจียนหลายครั้ง เจ้าของเลยพามาAdmit ทันที</v>
      </c>
      <c r="N113" s="19" t="str">
        <f>OfficeForms.Table[[#This Row],[การแก้ไขเบื้องต้น (ถ้ามี)]]</f>
        <v>หมอขอโทษลูกค้า และให้น้องAdmit ดูอาการ 2 วัน ทางรพ.ดูแลค่าใช้จ่ายที่น้องต้องAdmit</v>
      </c>
      <c r="O113" s="19" t="str">
        <f>OfficeForms.Table[[#This Row],[รหัสพนักงานผู้รายงาน (เพื่อสอบถามข้อมูลเพิ่มเติม)]]</f>
        <v>0190</v>
      </c>
      <c r="P113" s="19" t="str">
        <f>OfficeForms.Table[[#This Row],[ชื่อพนักงานที่อยู่ในเหตุการณ์]]</f>
        <v>รวิวรรณ</v>
      </c>
      <c r="Q113" s="19" t="str">
        <f>OfficeForms.Table[[#This Row],[ต้องคืนเงิน/ Credit note ลูกค้าหรือไม่]]</f>
        <v>ไม่ต้อง</v>
      </c>
      <c r="R113" s="19">
        <f>OfficeForms.Table[[#This Row],[Invoice'#/ Prepayment'#]]</f>
        <v>0</v>
      </c>
      <c r="S113" s="18">
        <f>OfficeForms.Table[[#This Row],[วันที่รับเงิน]]</f>
        <v>0</v>
      </c>
      <c r="T113" s="19">
        <f>OfficeForms.Table[[#This Row],[ชำระโดย]]</f>
        <v>0</v>
      </c>
      <c r="U113" s="19">
        <f>OfficeForms.Table[[#This Row],[ต้อง Adjust หรือ คืนเงินลูกค้าทางช่องทางใด]]</f>
        <v>0</v>
      </c>
      <c r="V113" s="19">
        <f>OfficeForms.Table[[#This Row],[ชื่อรายการที่ต้องคืน และมูลค่า (รวม VAT)]]</f>
        <v>0</v>
      </c>
    </row>
    <row r="114" spans="1:22" ht="55.5" hidden="1" customHeight="1">
      <c r="A114" s="19">
        <f>OfficeForms.Table[[#This Row],[Id]]</f>
        <v>116</v>
      </c>
      <c r="B114" s="18">
        <f>OfficeForms.Table[[#This Row],[Start time]]</f>
        <v>45963.531689814801</v>
      </c>
      <c r="C114" s="18">
        <f>OfficeForms.Table[[#This Row],[Completion time]]</f>
        <v>45963.538113425901</v>
      </c>
      <c r="D114" s="19" t="str">
        <f>OfficeForms.Table[[#This Row],[Email]]</f>
        <v>anonymous</v>
      </c>
      <c r="E114" s="19">
        <f>OfficeForms.Table[[#This Row],[Name]]</f>
        <v>0</v>
      </c>
      <c r="F114" s="19" t="str">
        <f>OfficeForms.Table[[#This Row],[สาขาที่เข้ารับบริการ]]</f>
        <v>สาขาทองหล่อ</v>
      </c>
      <c r="G114" s="18">
        <f>OfficeForms.Table[[#This Row],[วันที่เกิดเหตุ]]</f>
        <v>45963</v>
      </c>
      <c r="H114" s="19" t="str">
        <f>OfficeForms.Table[[#This Row],[ชื่อสัตว์เลี้ยง หรือ HN สัตว์เลี้ยง]]</f>
        <v>บาร์ซ่า (17018) + ยูเว่ (17019) + ลัคกี้ (17017)</v>
      </c>
      <c r="I114" s="19" t="str">
        <f>OfficeForms.Table[[#This Row],[ชื่อผู้ร้องเรียน]]</f>
        <v>ศุภธีร์ ถ้วยงาม  (12064)</v>
      </c>
      <c r="J114" s="19" t="str">
        <f>OfficeForms.Table[[#This Row],[เบอร์โทรศัพท์ผู้ร้องเรียน]]</f>
        <v>0954949365</v>
      </c>
      <c r="K114" s="19" t="str">
        <f>OfficeForms.Table[[#This Row],[หน่วยงานที่ถูกร้องเรียน]]</f>
        <v>GROOMING</v>
      </c>
      <c r="L114" s="19" t="str">
        <f>OfficeForms.Table[[#This Row],[กระบวนการที่ถูก Complain]]</f>
        <v>การดูแล/รักษาผู้ป่วย - OPD</v>
      </c>
      <c r="M114" s="19" t="str">
        <f>OfficeForms.Table[[#This Row],[รายละเอียดข้อร้องเรียน]]</f>
        <v>เจ้าของพามาฝาก Day care และขอเอกสารใบยืนยันการฝากกลับด้วย แต่เราแจ้งว่าปกติไม่มี เจ้าของเลยแจ้งว่าควรจะมีเนื่องจากจะได้เข้าใจตรงกันทั้งผู้ฝากและพยาบาลที่ดูแล เรื่องการกิน นิสัย ข้อควรระวังแต่ละตัว และราคาค่าใช้จ่าย และโรงพยาบาลดูใหญ่ควรทำระบบให้ดีกว่านี้และรัดกุมกว่านี้</v>
      </c>
      <c r="N114" s="19" t="str">
        <f>OfficeForms.Table[[#This Row],[การแก้ไขเบื้องต้น (ถ้ามี)]]</f>
        <v>ออกเอกสารแบบตรวจสุขภาพเบื้องต้นสาหรับสัตว์เลี้ยงที่เข้ารับบริการที่ไม่เกี่ยวข้องกับการรักษาให้เจ้าของลงข้อมูลของสัตว์เลี้ยง และพยาบาลจะทำการตรวจร่างกายเบื้อต้นและแสกนเอกสารส่งกลับให้ทางไลน์</v>
      </c>
      <c r="O114" s="19" t="str">
        <f>OfficeForms.Table[[#This Row],[รหัสพนักงานผู้รายงาน (เพื่อสอบถามข้อมูลเพิ่มเติม)]]</f>
        <v>แพรวา</v>
      </c>
      <c r="P114" s="19" t="str">
        <f>OfficeForms.Table[[#This Row],[ชื่อพนักงานที่อยู่ในเหตุการณ์]]</f>
        <v>แพรวา จ๋า ปอชาย</v>
      </c>
      <c r="Q114" s="19" t="str">
        <f>OfficeForms.Table[[#This Row],[ต้องคืนเงิน/ Credit note ลูกค้าหรือไม่]]</f>
        <v>ไม่ต้อง</v>
      </c>
      <c r="R114" s="19">
        <f>OfficeForms.Table[[#This Row],[Invoice'#/ Prepayment'#]]</f>
        <v>0</v>
      </c>
      <c r="S114" s="18">
        <f>OfficeForms.Table[[#This Row],[วันที่รับเงิน]]</f>
        <v>0</v>
      </c>
      <c r="T114" s="19">
        <f>OfficeForms.Table[[#This Row],[ชำระโดย]]</f>
        <v>0</v>
      </c>
      <c r="U114" s="19">
        <f>OfficeForms.Table[[#This Row],[ต้อง Adjust หรือ คืนเงินลูกค้าทางช่องทางใด]]</f>
        <v>0</v>
      </c>
      <c r="V114" s="19">
        <f>OfficeForms.Table[[#This Row],[ชื่อรายการที่ต้องคืน และมูลค่า (รวม VAT)]]</f>
        <v>0</v>
      </c>
    </row>
    <row r="115" spans="1:22" ht="51" hidden="1" customHeight="1">
      <c r="A115" s="19">
        <f>OfficeForms.Table[[#This Row],[Id]]</f>
        <v>117</v>
      </c>
      <c r="B115" s="18">
        <f>OfficeForms.Table[[#This Row],[Start time]]</f>
        <v>45968.298229166699</v>
      </c>
      <c r="C115" s="18">
        <f>OfficeForms.Table[[#This Row],[Completion time]]</f>
        <v>45968.300451388903</v>
      </c>
      <c r="D115" s="19" t="str">
        <f>OfficeForms.Table[[#This Row],[Email]]</f>
        <v>anonymous</v>
      </c>
      <c r="E115" s="19">
        <f>OfficeForms.Table[[#This Row],[Name]]</f>
        <v>0</v>
      </c>
      <c r="F115" s="19" t="str">
        <f>OfficeForms.Table[[#This Row],[สาขาที่เข้ารับบริการ]]</f>
        <v>สาขาทองหล่อ</v>
      </c>
      <c r="G115" s="18">
        <f>OfficeForms.Table[[#This Row],[วันที่เกิดเหตุ]]</f>
        <v>45961</v>
      </c>
      <c r="H115" s="19" t="str">
        <f>OfficeForms.Table[[#This Row],[ชื่อสัตว์เลี้ยง หรือ HN สัตว์เลี้ยง]]</f>
        <v>โกโก้ (17184)</v>
      </c>
      <c r="I115" s="19" t="str">
        <f>OfficeForms.Table[[#This Row],[ชื่อผู้ร้องเรียน]]</f>
        <v xml:space="preserve"> กัญญาณัฐ พิชยเกียรติกุล  (12173)</v>
      </c>
      <c r="J115" s="19" t="str">
        <f>OfficeForms.Table[[#This Row],[เบอร์โทรศัพท์ผู้ร้องเรียน]]</f>
        <v>089 892 8853</v>
      </c>
      <c r="K115" s="19" t="str">
        <f>OfficeForms.Table[[#This Row],[หน่วยงานที่ถูกร้องเรียน]]</f>
        <v>NURSE IPD</v>
      </c>
      <c r="L115" s="19" t="str">
        <f>OfficeForms.Table[[#This Row],[กระบวนการที่ถูก Complain]]</f>
        <v>การดูแล/รักษาผู้ป่วย - IPD</v>
      </c>
      <c r="M115" s="19" t="str">
        <f>OfficeForms.Table[[#This Row],[รายละเอียดข้อร้องเรียน]]</f>
        <v>1. ค่าห้อง Family room กับ ICU dog ทำไมคิดแยกกัน  2. หมอวอร์ดเปลี่ยนคนทุกวัน คุยไม่รู้เรื่อง 3. หมอคนนึงแจ้งว่าผ่าตัดได้ อีกคนแจ้งว่าผ่าตัดไม่ได้ 4. ห้อง Family ไม่มีอะไรให้เลย  5. บิลไม่มีอธิบายอะไรเลย ค่ารักษาแพง</v>
      </c>
      <c r="N115" s="19" t="str">
        <f>OfficeForms.Table[[#This Row],[การแก้ไขเบื้องต้น (ถ้ามี)]]</f>
        <v>-</v>
      </c>
      <c r="O115" s="19" t="str">
        <f>OfficeForms.Table[[#This Row],[รหัสพนักงานผู้รายงาน (เพื่อสอบถามข้อมูลเพิ่มเติม)]]</f>
        <v>Front-Yo</v>
      </c>
      <c r="P115" s="19" t="str">
        <f>OfficeForms.Table[[#This Row],[ชื่อพนักงานที่อยู่ในเหตุการณ์]]</f>
        <v>Front-Yo</v>
      </c>
      <c r="Q115" s="19" t="str">
        <f>OfficeForms.Table[[#This Row],[ต้องคืนเงิน/ Credit note ลูกค้าหรือไม่]]</f>
        <v>ไม่ต้อง</v>
      </c>
      <c r="R115" s="19">
        <f>OfficeForms.Table[[#This Row],[Invoice'#/ Prepayment'#]]</f>
        <v>0</v>
      </c>
      <c r="S115" s="18">
        <f>OfficeForms.Table[[#This Row],[วันที่รับเงิน]]</f>
        <v>0</v>
      </c>
      <c r="T115" s="19">
        <f>OfficeForms.Table[[#This Row],[ชำระโดย]]</f>
        <v>0</v>
      </c>
      <c r="U115" s="19">
        <f>OfficeForms.Table[[#This Row],[ต้อง Adjust หรือ คืนเงินลูกค้าทางช่องทางใด]]</f>
        <v>0</v>
      </c>
      <c r="V115" s="19">
        <f>OfficeForms.Table[[#This Row],[ชื่อรายการที่ต้องคืน และมูลค่า (รวม VAT)]]</f>
        <v>0</v>
      </c>
    </row>
    <row r="116" spans="1:22" ht="28.5" hidden="1" customHeight="1">
      <c r="A116" s="19">
        <f>OfficeForms.Table[[#This Row],[Id]]</f>
        <v>118</v>
      </c>
      <c r="B116" s="18">
        <f>OfficeForms.Table[[#This Row],[Start time]]</f>
        <v>45968.8136689815</v>
      </c>
      <c r="C116" s="18">
        <f>OfficeForms.Table[[#This Row],[Completion time]]</f>
        <v>45968.825509259303</v>
      </c>
      <c r="D116" s="19" t="str">
        <f>OfficeForms.Table[[#This Row],[Email]]</f>
        <v>anonymous</v>
      </c>
      <c r="E116" s="19">
        <f>OfficeForms.Table[[#This Row],[Name]]</f>
        <v>0</v>
      </c>
      <c r="F116" s="19" t="str">
        <f>OfficeForms.Table[[#This Row],[สาขาที่เข้ารับบริการ]]</f>
        <v>สาขาเพชรเกษม</v>
      </c>
      <c r="G116" s="18">
        <f>OfficeForms.Table[[#This Row],[วันที่เกิดเหตุ]]</f>
        <v>45968</v>
      </c>
      <c r="H116" s="19" t="str">
        <f>OfficeForms.Table[[#This Row],[ชื่อสัตว์เลี้ยง หรือ HN สัตว์เลี้ยง]]</f>
        <v>18325</v>
      </c>
      <c r="I116" s="19" t="str">
        <f>OfficeForms.Table[[#This Row],[ชื่อผู้ร้องเรียน]]</f>
        <v>พนัชกร  เหขุนทด(พิม)</v>
      </c>
      <c r="J116" s="19" t="str">
        <f>OfficeForms.Table[[#This Row],[เบอร์โทรศัพท์ผู้ร้องเรียน]]</f>
        <v>0625342626</v>
      </c>
      <c r="K116" s="19" t="str">
        <f>OfficeForms.Table[[#This Row],[หน่วยงานที่ถูกร้องเรียน]]</f>
        <v>.Back Office/Support</v>
      </c>
      <c r="L116" s="19" t="str">
        <f>OfficeForms.Table[[#This Row],[กระบวนการที่ถูก Complain]]</f>
        <v>การสื่อสารด้าน Non-Clinical</v>
      </c>
      <c r="M116" s="19" t="str">
        <f>OfficeForms.Table[[#This Row],[รายละเอียดข้อร้องเรียน]]</f>
        <v>มาใช้โปรตรวจสุขภาพ young cat/dog ฟรีmicrochip แต่จนท.แจ้งว่าหมดโปรแล้ว แต่ลูกค้าไม่ยอมจะทำให้ได้</v>
      </c>
      <c r="N116" s="19">
        <f>OfficeForms.Table[[#This Row],[การแก้ไขเบื้องต้น (ถ้ามี)]]</f>
        <v>0</v>
      </c>
      <c r="O116" s="19" t="str">
        <f>OfficeForms.Table[[#This Row],[รหัสพนักงานผู้รายงาน (เพื่อสอบถามข้อมูลเพิ่มเติม)]]</f>
        <v>0300</v>
      </c>
      <c r="P116" s="19" t="str">
        <f>OfficeForms.Table[[#This Row],[ชื่อพนักงานที่อยู่ในเหตุการณ์]]</f>
        <v>Front ชัชชญา (แป้ง)</v>
      </c>
      <c r="Q116" s="19" t="str">
        <f>OfficeForms.Table[[#This Row],[ต้องคืนเงิน/ Credit note ลูกค้าหรือไม่]]</f>
        <v>ไม่ต้อง</v>
      </c>
      <c r="R116" s="19">
        <f>OfficeForms.Table[[#This Row],[Invoice'#/ Prepayment'#]]</f>
        <v>0</v>
      </c>
      <c r="S116" s="18">
        <f>OfficeForms.Table[[#This Row],[วันที่รับเงิน]]</f>
        <v>0</v>
      </c>
      <c r="T116" s="19">
        <f>OfficeForms.Table[[#This Row],[ชำระโดย]]</f>
        <v>0</v>
      </c>
      <c r="U116" s="19">
        <f>OfficeForms.Table[[#This Row],[ต้อง Adjust หรือ คืนเงินลูกค้าทางช่องทางใด]]</f>
        <v>0</v>
      </c>
      <c r="V116" s="19">
        <f>OfficeForms.Table[[#This Row],[ชื่อรายการที่ต้องคืน และมูลค่า (รวม VAT)]]</f>
        <v>0</v>
      </c>
    </row>
    <row r="117" spans="1:22" ht="27.75" hidden="1" customHeight="1">
      <c r="A117" s="19">
        <f>OfficeForms.Table[[#This Row],[Id]]</f>
        <v>119</v>
      </c>
      <c r="B117" s="18">
        <f>OfficeForms.Table[[#This Row],[Start time]]</f>
        <v>45969.509988425903</v>
      </c>
      <c r="C117" s="18">
        <f>OfficeForms.Table[[#This Row],[Completion time]]</f>
        <v>45969.526018518503</v>
      </c>
      <c r="D117" s="19" t="str">
        <f>OfficeForms.Table[[#This Row],[Email]]</f>
        <v>anonymous</v>
      </c>
      <c r="E117" s="19">
        <f>OfficeForms.Table[[#This Row],[Name]]</f>
        <v>0</v>
      </c>
      <c r="F117" s="19" t="str">
        <f>OfficeForms.Table[[#This Row],[สาขาที่เข้ารับบริการ]]</f>
        <v>สาขาเพชรเกษม</v>
      </c>
      <c r="G117" s="18">
        <f>OfficeForms.Table[[#This Row],[วันที่เกิดเหตุ]]</f>
        <v>45968</v>
      </c>
      <c r="H117" s="19" t="str">
        <f>OfficeForms.Table[[#This Row],[ชื่อสัตว์เลี้ยง หรือ HN สัตว์เลี้ยง]]</f>
        <v>Buffet 18325</v>
      </c>
      <c r="I117" s="19" t="str">
        <f>OfficeForms.Table[[#This Row],[ชื่อผู้ร้องเรียน]]</f>
        <v>ชัชชญา</v>
      </c>
      <c r="J117" s="19" t="str">
        <f>OfficeForms.Table[[#This Row],[เบอร์โทรศัพท์ผู้ร้องเรียน]]</f>
        <v>0929945998</v>
      </c>
      <c r="K117" s="19" t="str">
        <f>OfficeForms.Table[[#This Row],[หน่วยงานที่ถูกร้องเรียน]]</f>
        <v>.Back Office/Support</v>
      </c>
      <c r="L117" s="19" t="str">
        <f>OfficeForms.Table[[#This Row],[กระบวนการที่ถูก Complain]]</f>
        <v>การประสานงานภายใน</v>
      </c>
      <c r="M117" s="19" t="str">
        <f>OfficeForms.Table[[#This Row],[รายละเอียดข้อร้องเรียน]]</f>
        <v>นายปัณณวัชร์ ทำโปรโมชั่นมาไม่แจ้งหน้างาน ทำให้หน้างานเดือดร้อน ไม่แจ้งให้ห้องยาเตรียมของ ในสต๊อกไม่มีไมโคชิฟทำให้ลูกค้าไม่โอเค เนื่องจากเสียเวลาที่จะต้องเข้ามาโรงพยาบาล</v>
      </c>
      <c r="N117" s="19" t="str">
        <f>OfficeForms.Table[[#This Row],[การแก้ไขเบื้องต้น (ถ้ามี)]]</f>
        <v>แจ้งลูกค้าให้ตรวจเลือดก่อน แล้วให้กลับมาฝั่งไมโครชิฟวันถัดไปค่ะ</v>
      </c>
      <c r="O117" s="19" t="str">
        <f>OfficeForms.Table[[#This Row],[รหัสพนักงานผู้รายงาน (เพื่อสอบถามข้อมูลเพิ่มเติม)]]</f>
        <v>0259</v>
      </c>
      <c r="P117" s="19" t="str">
        <f>OfficeForms.Table[[#This Row],[ชื่อพนักงานที่อยู่ในเหตุการณ์]]</f>
        <v xml:space="preserve">หมอRCN พยาบาลจา </v>
      </c>
      <c r="Q117" s="19" t="str">
        <f>OfficeForms.Table[[#This Row],[ต้องคืนเงิน/ Credit note ลูกค้าหรือไม่]]</f>
        <v>ไม่ต้อง</v>
      </c>
      <c r="R117" s="19">
        <f>OfficeForms.Table[[#This Row],[Invoice'#/ Prepayment'#]]</f>
        <v>0</v>
      </c>
      <c r="S117" s="18">
        <f>OfficeForms.Table[[#This Row],[วันที่รับเงิน]]</f>
        <v>0</v>
      </c>
      <c r="T117" s="19">
        <f>OfficeForms.Table[[#This Row],[ชำระโดย]]</f>
        <v>0</v>
      </c>
      <c r="U117" s="19">
        <f>OfficeForms.Table[[#This Row],[ต้อง Adjust หรือ คืนเงินลูกค้าทางช่องทางใด]]</f>
        <v>0</v>
      </c>
      <c r="V117" s="19">
        <f>OfficeForms.Table[[#This Row],[ชื่อรายการที่ต้องคืน และมูลค่า (รวม VAT)]]</f>
        <v>0</v>
      </c>
    </row>
    <row r="118" spans="1:22" ht="28.5" hidden="1" customHeight="1">
      <c r="A118" s="19">
        <f>OfficeForms.Table[[#This Row],[Id]]</f>
        <v>120</v>
      </c>
      <c r="B118" s="18">
        <f>OfficeForms.Table[[#This Row],[Start time]]</f>
        <v>45970.946296296301</v>
      </c>
      <c r="C118" s="18">
        <f>OfficeForms.Table[[#This Row],[Completion time]]</f>
        <v>45970.947789351798</v>
      </c>
      <c r="D118" s="19" t="str">
        <f>OfficeForms.Table[[#This Row],[Email]]</f>
        <v>anonymous</v>
      </c>
      <c r="E118" s="19">
        <f>OfficeForms.Table[[#This Row],[Name]]</f>
        <v>0</v>
      </c>
      <c r="F118" s="19" t="str">
        <f>OfficeForms.Table[[#This Row],[สาขาที่เข้ารับบริการ]]</f>
        <v>สาขาทองหล่อ</v>
      </c>
      <c r="G118" s="18">
        <f>OfficeForms.Table[[#This Row],[วันที่เกิดเหตุ]]</f>
        <v>45970</v>
      </c>
      <c r="H118" s="19" t="str">
        <f>OfficeForms.Table[[#This Row],[ชื่อสัตว์เลี้ยง หรือ HN สัตว์เลี้ยง]]</f>
        <v>ปุกปุย (8414)</v>
      </c>
      <c r="I118" s="19" t="str">
        <f>OfficeForms.Table[[#This Row],[ชื่อผู้ร้องเรียน]]</f>
        <v>ธัญลักษณ์ มหาสิงห์  (6021)</v>
      </c>
      <c r="J118" s="19" t="str">
        <f>OfficeForms.Table[[#This Row],[เบอร์โทรศัพท์ผู้ร้องเรียน]]</f>
        <v>064 956 7678</v>
      </c>
      <c r="K118" s="19" t="str">
        <f>OfficeForms.Table[[#This Row],[หน่วยงานที่ถูกร้องเรียน]]</f>
        <v>CASHIER</v>
      </c>
      <c r="L118" s="19" t="str">
        <f>OfficeForms.Table[[#This Row],[กระบวนการที่ถูก Complain]]</f>
        <v>การประเมินราคา</v>
      </c>
      <c r="M118" s="19" t="str">
        <f>OfficeForms.Table[[#This Row],[รายละเอียดข้อร้องเรียน]]</f>
        <v>1. อยากให้ฟอร์มบิลของดรงพยาบาลโดยพื้นฐานแสดงรายละเอียดค่าใช้จ่ายทั้งหมด พร้อมแยกรายการแต่ละวัน  2.ก่อนแอดมิทได้รับแจ้งว่าค่าใช้จ่ายประมาณ 30,000 บาท พอมาแอดมิทจริงยอดสูงมากๆ</v>
      </c>
      <c r="N118" s="19" t="str">
        <f>OfficeForms.Table[[#This Row],[การแก้ไขเบื้องต้น (ถ้ามี)]]</f>
        <v>-</v>
      </c>
      <c r="O118" s="19" t="str">
        <f>OfficeForms.Table[[#This Row],[รหัสพนักงานผู้รายงาน (เพื่อสอบถามข้อมูลเพิ่มเติม)]]</f>
        <v>.</v>
      </c>
      <c r="P118" s="19" t="str">
        <f>OfficeForms.Table[[#This Row],[ชื่อพนักงานที่อยู่ในเหตุการณ์]]</f>
        <v>.</v>
      </c>
      <c r="Q118" s="19" t="str">
        <f>OfficeForms.Table[[#This Row],[ต้องคืนเงิน/ Credit note ลูกค้าหรือไม่]]</f>
        <v>ไม่ต้อง</v>
      </c>
      <c r="R118" s="19">
        <f>OfficeForms.Table[[#This Row],[Invoice'#/ Prepayment'#]]</f>
        <v>0</v>
      </c>
      <c r="S118" s="18">
        <f>OfficeForms.Table[[#This Row],[วันที่รับเงิน]]</f>
        <v>0</v>
      </c>
      <c r="T118" s="19">
        <f>OfficeForms.Table[[#This Row],[ชำระโดย]]</f>
        <v>0</v>
      </c>
      <c r="U118" s="19">
        <f>OfficeForms.Table[[#This Row],[ต้อง Adjust หรือ คืนเงินลูกค้าทางช่องทางใด]]</f>
        <v>0</v>
      </c>
      <c r="V118" s="19">
        <f>OfficeForms.Table[[#This Row],[ชื่อรายการที่ต้องคืน และมูลค่า (รวม VAT)]]</f>
        <v>0</v>
      </c>
    </row>
    <row r="119" spans="1:22" ht="48" hidden="1" customHeight="1">
      <c r="A119" s="19">
        <f>OfficeForms.Table[[#This Row],[Id]]</f>
        <v>121</v>
      </c>
      <c r="B119" s="18">
        <f>OfficeForms.Table[[#This Row],[Start time]]</f>
        <v>45973.630358796298</v>
      </c>
      <c r="C119" s="18">
        <f>OfficeForms.Table[[#This Row],[Completion time]]</f>
        <v>45973.641423611101</v>
      </c>
      <c r="D119" s="19" t="str">
        <f>OfficeForms.Table[[#This Row],[Email]]</f>
        <v>anonymous</v>
      </c>
      <c r="E119" s="19">
        <f>OfficeForms.Table[[#This Row],[Name]]</f>
        <v>0</v>
      </c>
      <c r="F119" s="19" t="str">
        <f>OfficeForms.Table[[#This Row],[สาขาที่เข้ารับบริการ]]</f>
        <v>สาขาทองหล่อ</v>
      </c>
      <c r="G119" s="18">
        <f>OfficeForms.Table[[#This Row],[วันที่เกิดเหตุ]]</f>
        <v>45972</v>
      </c>
      <c r="H119" s="19" t="str">
        <f>OfficeForms.Table[[#This Row],[ชื่อสัตว์เลี้ยง หรือ HN สัตว์เลี้ยง]]</f>
        <v>Michael</v>
      </c>
      <c r="I119" s="19" t="str">
        <f>OfficeForms.Table[[#This Row],[ชื่อผู้ร้องเรียน]]</f>
        <v>คุณ Zayar (Laeo) Lyn</v>
      </c>
      <c r="J119" s="19" t="str">
        <f>OfficeForms.Table[[#This Row],[เบอร์โทรศัพท์ผู้ร้องเรียน]]</f>
        <v>0807943593</v>
      </c>
      <c r="K119" s="19" t="str">
        <f>OfficeForms.Table[[#This Row],[หน่วยงานที่ถูกร้องเรียน]]</f>
        <v>VET</v>
      </c>
      <c r="L119" s="19" t="str">
        <f>OfficeForms.Table[[#This Row],[กระบวนการที่ถูก Complain]]</f>
        <v>การคีย์ Order/ค่าใช่จ่าย</v>
      </c>
      <c r="M119" s="19" t="str">
        <f>OfficeForms.Table[[#This Row],[รายละเอียดข้อร้องเรียน]]</f>
        <v>เจ้าของได้โทรมาสั่งยาที่ทานประจำ 24 วัน แต่พอแจ้งราคาก็ขอลดเหลือ12วัน เหมือนครั้งก่อน แต่เจ้าขิงก็สงสัยว่าครั้งก่อนค่ายาถูกกว่านี้ ห้องยากลับไปย้อนตรวจสอบพบว่า ครั้งก่อนหน้าหมอคีย์ยา rivaroxaban 10 mg จำนวน 0 เม็ด ยาถูกจัดแต่ไม่ถูกคิดเงินราคาจึงไม่เท่ากัน ห้องยาได้แจ้งเจ้าของตามจริงว่าครั้งที่แล้วไม่ได้คิดเงินค่ายา1ตัว</v>
      </c>
      <c r="N119" s="19" t="str">
        <f>OfficeForms.Table[[#This Row],[การแก้ไขเบื้องต้น (ถ้ามี)]]</f>
        <v>แจ้งเจ้าของว่า ค่ายาส่วนที่ไม่ได้คิดเงินรอบที่แล้ว เจ้าของไม่ต้องชำระเพิ่ม ห้องยาจะรับผิดชอบเพราะไม่ได้ตรวจสอบให้ดี ให้เจ้าของชำระแค่ค่ายารอบปัจจุบัน</v>
      </c>
      <c r="O119" s="19" t="str">
        <f>OfficeForms.Table[[#This Row],[รหัสพนักงานผู้รายงาน (เพื่อสอบถามข้อมูลเพิ่มเติม)]]</f>
        <v>0124</v>
      </c>
      <c r="P119" s="19" t="str">
        <f>OfficeForms.Table[[#This Row],[ชื่อพนักงานที่อยู่ในเหตุการณ์]]</f>
        <v>แพรวา, เกษมกิจ</v>
      </c>
      <c r="Q119" s="19" t="str">
        <f>OfficeForms.Table[[#This Row],[ต้องคืนเงิน/ Credit note ลูกค้าหรือไม่]]</f>
        <v>ไม่ต้อง</v>
      </c>
      <c r="R119" s="19">
        <f>OfficeForms.Table[[#This Row],[Invoice'#/ Prepayment'#]]</f>
        <v>0</v>
      </c>
      <c r="S119" s="18">
        <f>OfficeForms.Table[[#This Row],[วันที่รับเงิน]]</f>
        <v>0</v>
      </c>
      <c r="T119" s="19">
        <f>OfficeForms.Table[[#This Row],[ชำระโดย]]</f>
        <v>0</v>
      </c>
      <c r="U119" s="19">
        <f>OfficeForms.Table[[#This Row],[ต้อง Adjust หรือ คืนเงินลูกค้าทางช่องทางใด]]</f>
        <v>0</v>
      </c>
      <c r="V119" s="19">
        <f>OfficeForms.Table[[#This Row],[ชื่อรายการที่ต้องคืน และมูลค่า (รวม VAT)]]</f>
        <v>0</v>
      </c>
    </row>
    <row r="120" spans="1:22" ht="28.5" hidden="1" customHeight="1">
      <c r="A120" s="19">
        <f>OfficeForms.Table[[#This Row],[Id]]</f>
        <v>122</v>
      </c>
      <c r="B120" s="18">
        <f>OfficeForms.Table[[#This Row],[Start time]]</f>
        <v>45975.032314814802</v>
      </c>
      <c r="C120" s="18">
        <f>OfficeForms.Table[[#This Row],[Completion time]]</f>
        <v>45975.034606481502</v>
      </c>
      <c r="D120" s="19" t="str">
        <f>OfficeForms.Table[[#This Row],[Email]]</f>
        <v>anonymous</v>
      </c>
      <c r="E120" s="19">
        <f>OfficeForms.Table[[#This Row],[Name]]</f>
        <v>0</v>
      </c>
      <c r="F120" s="19" t="str">
        <f>OfficeForms.Table[[#This Row],[สาขาที่เข้ารับบริการ]]</f>
        <v>สาขาทองหล่อ</v>
      </c>
      <c r="G120" s="18">
        <f>OfficeForms.Table[[#This Row],[วันที่เกิดเหตุ]]</f>
        <v>45974</v>
      </c>
      <c r="H120" s="19" t="str">
        <f>OfficeForms.Table[[#This Row],[ชื่อสัตว์เลี้ยง หรือ HN สัตว์เลี้ยง]]</f>
        <v>Bubble (15711)</v>
      </c>
      <c r="I120" s="19" t="str">
        <f>OfficeForms.Table[[#This Row],[ชื่อผู้ร้องเรียน]]</f>
        <v xml:space="preserve"> ภาวรี พินธุโสภณ  (11184)</v>
      </c>
      <c r="J120" s="19" t="str">
        <f>OfficeForms.Table[[#This Row],[เบอร์โทรศัพท์ผู้ร้องเรียน]]</f>
        <v>0 81 849 5353</v>
      </c>
      <c r="K120" s="19" t="str">
        <f>OfficeForms.Table[[#This Row],[หน่วยงานที่ถูกร้องเรียน]]</f>
        <v>.Back Office/Support</v>
      </c>
      <c r="L120" s="19" t="str">
        <f>OfficeForms.Table[[#This Row],[กระบวนการที่ถูก Complain]]</f>
        <v>การสื่อสารด้าน Clinical</v>
      </c>
      <c r="M120" s="19" t="str">
        <f>OfficeForms.Table[[#This Row],[รายละเอียดข้อร้องเรียน]]</f>
        <v>เจ้าของแจ้งมาในไลน์ว่า ทำไมโทรไม่มีคนรับสายเลยค่ะ ที่ รพ  แบบนี้ถ้าแอตมิต จะติดต่อสอบถามอาการอย่างงัยค่ะ และแจ้งที่หน้างานว่าติดต่อยาก</v>
      </c>
      <c r="N120" s="19" t="str">
        <f>OfficeForms.Table[[#This Row],[การแก้ไขเบื้องต้น (ถ้ามี)]]</f>
        <v>ขอโทษเจ้าของไป</v>
      </c>
      <c r="O120" s="19" t="str">
        <f>OfficeForms.Table[[#This Row],[รหัสพนักงานผู้รายงาน (เพื่อสอบถามข้อมูลเพิ่มเติม)]]</f>
        <v>.</v>
      </c>
      <c r="P120" s="19" t="str">
        <f>OfficeForms.Table[[#This Row],[ชื่อพนักงานที่อยู่ในเหตุการณ์]]</f>
        <v>.</v>
      </c>
      <c r="Q120" s="19" t="str">
        <f>OfficeForms.Table[[#This Row],[ต้องคืนเงิน/ Credit note ลูกค้าหรือไม่]]</f>
        <v>ไม่ต้อง</v>
      </c>
      <c r="R120" s="19">
        <f>OfficeForms.Table[[#This Row],[Invoice'#/ Prepayment'#]]</f>
        <v>0</v>
      </c>
      <c r="S120" s="18">
        <f>OfficeForms.Table[[#This Row],[วันที่รับเงิน]]</f>
        <v>0</v>
      </c>
      <c r="T120" s="19">
        <f>OfficeForms.Table[[#This Row],[ชำระโดย]]</f>
        <v>0</v>
      </c>
      <c r="U120" s="19">
        <f>OfficeForms.Table[[#This Row],[ต้อง Adjust หรือ คืนเงินลูกค้าทางช่องทางใด]]</f>
        <v>0</v>
      </c>
      <c r="V120" s="19">
        <f>OfficeForms.Table[[#This Row],[ชื่อรายการที่ต้องคืน และมูลค่า (รวม VAT)]]</f>
        <v>0</v>
      </c>
    </row>
    <row r="121" spans="1:22" ht="28.5" hidden="1" customHeight="1">
      <c r="A121" s="19">
        <f>OfficeForms.Table[[#This Row],[Id]]</f>
        <v>123</v>
      </c>
      <c r="B121" s="18">
        <f>OfficeForms.Table[[#This Row],[Start time]]</f>
        <v>45975.034641203703</v>
      </c>
      <c r="C121" s="18">
        <f>OfficeForms.Table[[#This Row],[Completion time]]</f>
        <v>45975.035983796297</v>
      </c>
      <c r="D121" s="19" t="str">
        <f>OfficeForms.Table[[#This Row],[Email]]</f>
        <v>anonymous</v>
      </c>
      <c r="E121" s="19">
        <f>OfficeForms.Table[[#This Row],[Name]]</f>
        <v>0</v>
      </c>
      <c r="F121" s="19" t="str">
        <f>OfficeForms.Table[[#This Row],[สาขาที่เข้ารับบริการ]]</f>
        <v>สาขาทองหล่อ</v>
      </c>
      <c r="G121" s="18">
        <f>OfficeForms.Table[[#This Row],[วันที่เกิดเหตุ]]</f>
        <v>45974</v>
      </c>
      <c r="H121" s="19" t="str">
        <f>OfficeForms.Table[[#This Row],[ชื่อสัตว์เลี้ยง หรือ HN สัตว์เลี้ยง]]</f>
        <v>ต้นข้าว (16795)</v>
      </c>
      <c r="I121" s="19" t="str">
        <f>OfficeForms.Table[[#This Row],[ชื่อผู้ร้องเรียน]]</f>
        <v>อรอนงค์ ปิลันธน์โอวาท  (4674)</v>
      </c>
      <c r="J121" s="19" t="str">
        <f>OfficeForms.Table[[#This Row],[เบอร์โทรศัพท์ผู้ร้องเรียน]]</f>
        <v>085 994 1456</v>
      </c>
      <c r="K121" s="19" t="str">
        <f>OfficeForms.Table[[#This Row],[หน่วยงานที่ถูกร้องเรียน]]</f>
        <v>CASHIER</v>
      </c>
      <c r="L121" s="19" t="str">
        <f>OfficeForms.Table[[#This Row],[กระบวนการที่ถูก Complain]]</f>
        <v>การคีย์ Order/ค่าใช่จ่าย</v>
      </c>
      <c r="M121" s="19" t="str">
        <f>OfficeForms.Table[[#This Row],[รายละเอียดข้อร้องเรียน]]</f>
        <v>ค่าน้ำเกลือ Acetra 1000 ml แพงมาก ราคาต่อขวด 600 บาท แต่ภายนอกขวดละ 50-120 บาท เจ้าของรู้สึกว่าราคาค่อนข้างสูงเกินกว่าปกติเกินไป</v>
      </c>
      <c r="N121" s="19" t="str">
        <f>OfficeForms.Table[[#This Row],[การแก้ไขเบื้องต้น (ถ้ามี)]]</f>
        <v>.</v>
      </c>
      <c r="O121" s="19" t="str">
        <f>OfficeForms.Table[[#This Row],[รหัสพนักงานผู้รายงาน (เพื่อสอบถามข้อมูลเพิ่มเติม)]]</f>
        <v>.</v>
      </c>
      <c r="P121" s="19" t="str">
        <f>OfficeForms.Table[[#This Row],[ชื่อพนักงานที่อยู่ในเหตุการณ์]]</f>
        <v>.</v>
      </c>
      <c r="Q121" s="19" t="str">
        <f>OfficeForms.Table[[#This Row],[ต้องคืนเงิน/ Credit note ลูกค้าหรือไม่]]</f>
        <v>ไม่ต้อง</v>
      </c>
      <c r="R121" s="19">
        <f>OfficeForms.Table[[#This Row],[Invoice'#/ Prepayment'#]]</f>
        <v>0</v>
      </c>
      <c r="S121" s="18">
        <f>OfficeForms.Table[[#This Row],[วันที่รับเงิน]]</f>
        <v>0</v>
      </c>
      <c r="T121" s="19">
        <f>OfficeForms.Table[[#This Row],[ชำระโดย]]</f>
        <v>0</v>
      </c>
      <c r="U121" s="19">
        <f>OfficeForms.Table[[#This Row],[ต้อง Adjust หรือ คืนเงินลูกค้าทางช่องทางใด]]</f>
        <v>0</v>
      </c>
      <c r="V121" s="19">
        <f>OfficeForms.Table[[#This Row],[ชื่อรายการที่ต้องคืน และมูลค่า (รวม VAT)]]</f>
        <v>0</v>
      </c>
    </row>
    <row r="122" spans="1:22" ht="28.5" hidden="1" customHeight="1">
      <c r="A122" s="19">
        <f>OfficeForms.Table[[#This Row],[Id]]</f>
        <v>124</v>
      </c>
      <c r="B122" s="18">
        <f>OfficeForms.Table[[#This Row],[Start time]]</f>
        <v>45976.454166666699</v>
      </c>
      <c r="C122" s="18">
        <f>OfficeForms.Table[[#This Row],[Completion time]]</f>
        <v>45976.455439814803</v>
      </c>
      <c r="D122" s="19" t="str">
        <f>OfficeForms.Table[[#This Row],[Email]]</f>
        <v>anonymous</v>
      </c>
      <c r="E122" s="19">
        <f>OfficeForms.Table[[#This Row],[Name]]</f>
        <v>0</v>
      </c>
      <c r="F122" s="19" t="str">
        <f>OfficeForms.Table[[#This Row],[สาขาที่เข้ารับบริการ]]</f>
        <v>สาขาทองหล่อ</v>
      </c>
      <c r="G122" s="18">
        <f>OfficeForms.Table[[#This Row],[วันที่เกิดเหตุ]]</f>
        <v>45976</v>
      </c>
      <c r="H122" s="19" t="str">
        <f>OfficeForms.Table[[#This Row],[ชื่อสัตว์เลี้ยง หรือ HN สัตว์เลี้ยง]]</f>
        <v>ฟีนิกซ์ (10069)</v>
      </c>
      <c r="I122" s="19" t="str">
        <f>OfficeForms.Table[[#This Row],[ชื่อผู้ร้องเรียน]]</f>
        <v>ณัฏฐกัลย์ ไทยจิรโชติ  (7200)</v>
      </c>
      <c r="J122" s="19" t="str">
        <f>OfficeForms.Table[[#This Row],[เบอร์โทรศัพท์ผู้ร้องเรียน]]</f>
        <v>081 923 5698</v>
      </c>
      <c r="K122" s="19" t="str">
        <f>OfficeForms.Table[[#This Row],[หน่วยงานที่ถูกร้องเรียน]]</f>
        <v>แม่บ้าน</v>
      </c>
      <c r="L122" s="19" t="str">
        <f>OfficeForms.Table[[#This Row],[กระบวนการที่ถูก Complain]]</f>
        <v>การดูแล/รักษาผู้ป่วย - OPD</v>
      </c>
      <c r="M122" s="19" t="str">
        <f>OfficeForms.Table[[#This Row],[รายละเอียดข้อร้องเรียน]]</f>
        <v>รถเข็นทำความสะอาดไม่เรียบร้อย ยังมีเศษขน ขยะ อยู่ในรถเข็น</v>
      </c>
      <c r="N122" s="19" t="str">
        <f>OfficeForms.Table[[#This Row],[การแก้ไขเบื้องต้น (ถ้ามี)]]</f>
        <v>ขออภัยเจ้าของไป</v>
      </c>
      <c r="O122" s="19" t="str">
        <f>OfficeForms.Table[[#This Row],[รหัสพนักงานผู้รายงาน (เพื่อสอบถามข้อมูลเพิ่มเติม)]]</f>
        <v>.</v>
      </c>
      <c r="P122" s="19" t="str">
        <f>OfficeForms.Table[[#This Row],[ชื่อพนักงานที่อยู่ในเหตุการณ์]]</f>
        <v>Yo-Front</v>
      </c>
      <c r="Q122" s="19" t="str">
        <f>OfficeForms.Table[[#This Row],[ต้องคืนเงิน/ Credit note ลูกค้าหรือไม่]]</f>
        <v>ไม่ต้อง</v>
      </c>
      <c r="R122" s="19">
        <f>OfficeForms.Table[[#This Row],[Invoice'#/ Prepayment'#]]</f>
        <v>0</v>
      </c>
      <c r="S122" s="18">
        <f>OfficeForms.Table[[#This Row],[วันที่รับเงิน]]</f>
        <v>0</v>
      </c>
      <c r="T122" s="19">
        <f>OfficeForms.Table[[#This Row],[ชำระโดย]]</f>
        <v>0</v>
      </c>
      <c r="U122" s="19">
        <f>OfficeForms.Table[[#This Row],[ต้อง Adjust หรือ คืนเงินลูกค้าทางช่องทางใด]]</f>
        <v>0</v>
      </c>
      <c r="V122" s="19">
        <f>OfficeForms.Table[[#This Row],[ชื่อรายการที่ต้องคืน และมูลค่า (รวม VAT)]]</f>
        <v>0</v>
      </c>
    </row>
    <row r="123" spans="1:22" ht="57.75" hidden="1" customHeight="1">
      <c r="A123" s="19">
        <f>OfficeForms.Table[[#This Row],[Id]]</f>
        <v>125</v>
      </c>
      <c r="B123" s="18">
        <f>OfficeForms.Table[[#This Row],[Start time]]</f>
        <v>45977.6720138889</v>
      </c>
      <c r="C123" s="18">
        <f>OfficeForms.Table[[#This Row],[Completion time]]</f>
        <v>45977.683402777802</v>
      </c>
      <c r="D123" s="19" t="str">
        <f>OfficeForms.Table[[#This Row],[Email]]</f>
        <v>anonymous</v>
      </c>
      <c r="E123" s="19">
        <f>OfficeForms.Table[[#This Row],[Name]]</f>
        <v>0</v>
      </c>
      <c r="F123" s="19" t="str">
        <f>OfficeForms.Table[[#This Row],[สาขาที่เข้ารับบริการ]]</f>
        <v>สาขาทองหล่อ</v>
      </c>
      <c r="G123" s="18">
        <f>OfficeForms.Table[[#This Row],[วันที่เกิดเหตุ]]</f>
        <v>45976</v>
      </c>
      <c r="H123" s="19" t="str">
        <f>OfficeForms.Table[[#This Row],[ชื่อสัตว์เลี้ยง หรือ HN สัตว์เลี้ยง]]</f>
        <v>Romeo (12094)</v>
      </c>
      <c r="I123" s="19" t="str">
        <f>OfficeForms.Table[[#This Row],[ชื่อผู้ร้องเรียน]]</f>
        <v>ทรรศิกา ฉัตรเฉลิม  (8629)</v>
      </c>
      <c r="J123" s="19" t="str">
        <f>OfficeForms.Table[[#This Row],[เบอร์โทรศัพท์ผู้ร้องเรียน]]</f>
        <v xml:space="preserve">098 161 9798 </v>
      </c>
      <c r="K123" s="19" t="str">
        <f>OfficeForms.Table[[#This Row],[หน่วยงานที่ถูกร้องเรียน]]</f>
        <v>VET</v>
      </c>
      <c r="L123" s="19" t="str">
        <f>OfficeForms.Table[[#This Row],[กระบวนการที่ถูก Complain]]</f>
        <v>การดูแล/รักษาผู้ป่วย - OPD</v>
      </c>
      <c r="M123" s="19" t="str">
        <f>OfficeForms.Table[[#This Row],[รายละเอียดข้อร้องเรียน]]</f>
        <v>เจ้าของแจ้งว่าตรวจกับหมอท่านแรกเสร็จแล้ว มารอคุณหมอแทนหทัยเพื่อตรวจต่อตอน 13.30 น ไม่มีหมอในห้องตรวจ แจ้งพยาบาลแล้ว พยาบาลแจ้งว่าจะตามให้ หลังจากรอ 20 นาที เจ้าของไม่สะดวกรอต่อเนื่องจากน้องเริ่มหอบเลยเดินไปแจ้งพยาบาลที่เค้าเตอร์ พยาบาลตอบแค่คำว่า ค่ะ เลยพาน้องลงมาเพื่อรอคิดเงินและรับยา เจ้าของแจ้งว่าไม่ค่อพอใจการตอบกลับจากพยาบาลและการที่คุณหมอไม่อยู่ รวมถึงไม่มีใครมาแจ้งว่าสรุปหมอหายไปไหน</v>
      </c>
      <c r="N123" s="19" t="str">
        <f>OfficeForms.Table[[#This Row],[การแก้ไขเบื้องต้น (ถ้ามี)]]</f>
        <v>ขออภัยเจ้าของไปและแจ้งว่าจะแจ้งทาง Manager ให้</v>
      </c>
      <c r="O123" s="19" t="str">
        <f>OfficeForms.Table[[#This Row],[รหัสพนักงานผู้รายงาน (เพื่อสอบถามข้อมูลเพิ่มเติม)]]</f>
        <v>.</v>
      </c>
      <c r="P123" s="19" t="str">
        <f>OfficeForms.Table[[#This Row],[ชื่อพนักงานที่อยู่ในเหตุการณ์]]</f>
        <v>.</v>
      </c>
      <c r="Q123" s="19" t="str">
        <f>OfficeForms.Table[[#This Row],[ต้องคืนเงิน/ Credit note ลูกค้าหรือไม่]]</f>
        <v>ไม่ต้อง</v>
      </c>
      <c r="R123" s="19">
        <f>OfficeForms.Table[[#This Row],[Invoice'#/ Prepayment'#]]</f>
        <v>0</v>
      </c>
      <c r="S123" s="18">
        <f>OfficeForms.Table[[#This Row],[วันที่รับเงิน]]</f>
        <v>0</v>
      </c>
      <c r="T123" s="19">
        <f>OfficeForms.Table[[#This Row],[ชำระโดย]]</f>
        <v>0</v>
      </c>
      <c r="U123" s="19">
        <f>OfficeForms.Table[[#This Row],[ต้อง Adjust หรือ คืนเงินลูกค้าทางช่องทางใด]]</f>
        <v>0</v>
      </c>
      <c r="V123" s="19">
        <f>OfficeForms.Table[[#This Row],[ชื่อรายการที่ต้องคืน และมูลค่า (รวม VAT)]]</f>
        <v>0</v>
      </c>
    </row>
    <row r="124" spans="1:22" ht="28.5" hidden="1" customHeight="1">
      <c r="A124" s="19">
        <f>OfficeForms.Table[[#This Row],[Id]]</f>
        <v>126</v>
      </c>
      <c r="B124" s="18">
        <f>OfficeForms.Table[[#This Row],[Start time]]</f>
        <v>45983.895891203698</v>
      </c>
      <c r="C124" s="18">
        <f>OfficeForms.Table[[#This Row],[Completion time]]</f>
        <v>45983.8987962963</v>
      </c>
      <c r="D124" s="19" t="str">
        <f>OfficeForms.Table[[#This Row],[Email]]</f>
        <v>anonymous</v>
      </c>
      <c r="E124" s="19">
        <f>OfficeForms.Table[[#This Row],[Name]]</f>
        <v>0</v>
      </c>
      <c r="F124" s="19" t="str">
        <f>OfficeForms.Table[[#This Row],[สาขาที่เข้ารับบริการ]]</f>
        <v>สาขาทองหล่อ</v>
      </c>
      <c r="G124" s="18">
        <f>OfficeForms.Table[[#This Row],[วันที่เกิดเหตุ]]</f>
        <v>45983</v>
      </c>
      <c r="H124" s="19" t="str">
        <f>OfficeForms.Table[[#This Row],[ชื่อสัตว์เลี้ยง หรือ HN สัตว์เลี้ยง]]</f>
        <v>Cee Cee 17281</v>
      </c>
      <c r="I124" s="19" t="str">
        <f>OfficeForms.Table[[#This Row],[ชื่อผู้ร้องเรียน]]</f>
        <v>วิชุดา</v>
      </c>
      <c r="J124" s="19" t="str">
        <f>OfficeForms.Table[[#This Row],[เบอร์โทรศัพท์ผู้ร้องเรียน]]</f>
        <v>0957944665</v>
      </c>
      <c r="K124" s="19" t="str">
        <f>OfficeForms.Table[[#This Row],[หน่วยงานที่ถูกร้องเรียน]]</f>
        <v>FRONT</v>
      </c>
      <c r="L124" s="19" t="str">
        <f>OfficeForms.Table[[#This Row],[กระบวนการที่ถูก Complain]]</f>
        <v>การดูแล/รักษาผู้ป่วย - OPD</v>
      </c>
      <c r="M124" s="19" t="str">
        <f>OfficeForms.Table[[#This Row],[รายละเอียดข้อร้องเรียน]]</f>
        <v>รอตรวจนานทุกครั้งที่มาตรวจ</v>
      </c>
      <c r="N124" s="19">
        <f>OfficeForms.Table[[#This Row],[การแก้ไขเบื้องต้น (ถ้ามี)]]</f>
        <v>0</v>
      </c>
      <c r="O124" s="19" t="str">
        <f>OfficeForms.Table[[#This Row],[รหัสพนักงานผู้รายงาน (เพื่อสอบถามข้อมูลเพิ่มเติม)]]</f>
        <v>หมออาร์ม</v>
      </c>
      <c r="P124" s="19" t="str">
        <f>OfficeForms.Table[[#This Row],[ชื่อพนักงานที่อยู่ในเหตุการณ์]]</f>
        <v>หมออาร์ม</v>
      </c>
      <c r="Q124" s="19" t="str">
        <f>OfficeForms.Table[[#This Row],[ต้องคืนเงิน/ Credit note ลูกค้าหรือไม่]]</f>
        <v>ไม่ต้อง</v>
      </c>
      <c r="R124" s="19">
        <f>OfficeForms.Table[[#This Row],[Invoice'#/ Prepayment'#]]</f>
        <v>0</v>
      </c>
      <c r="S124" s="18">
        <f>OfficeForms.Table[[#This Row],[วันที่รับเงิน]]</f>
        <v>0</v>
      </c>
      <c r="T124" s="19">
        <f>OfficeForms.Table[[#This Row],[ชำระโดย]]</f>
        <v>0</v>
      </c>
      <c r="U124" s="19">
        <f>OfficeForms.Table[[#This Row],[ต้อง Adjust หรือ คืนเงินลูกค้าทางช่องทางใด]]</f>
        <v>0</v>
      </c>
      <c r="V124" s="19">
        <f>OfficeForms.Table[[#This Row],[ชื่อรายการที่ต้องคืน และมูลค่า (รวม VAT)]]</f>
        <v>0</v>
      </c>
    </row>
    <row r="125" spans="1:22" ht="28.5" hidden="1" customHeight="1">
      <c r="A125" s="19">
        <f>OfficeForms.Table[[#This Row],[Id]]</f>
        <v>127</v>
      </c>
      <c r="B125" s="18">
        <f>OfficeForms.Table[[#This Row],[Start time]]</f>
        <v>45986.7420949074</v>
      </c>
      <c r="C125" s="18">
        <f>OfficeForms.Table[[#This Row],[Completion time]]</f>
        <v>45986.748217592598</v>
      </c>
      <c r="D125" s="19" t="str">
        <f>OfficeForms.Table[[#This Row],[Email]]</f>
        <v>anonymous</v>
      </c>
      <c r="E125" s="19">
        <f>OfficeForms.Table[[#This Row],[Name]]</f>
        <v>0</v>
      </c>
      <c r="F125" s="19" t="str">
        <f>OfficeForms.Table[[#This Row],[สาขาที่เข้ารับบริการ]]</f>
        <v>สาขาทองหล่อ</v>
      </c>
      <c r="G125" s="18">
        <f>OfficeForms.Table[[#This Row],[วันที่เกิดเหตุ]]</f>
        <v>45984</v>
      </c>
      <c r="H125" s="19" t="str">
        <f>OfficeForms.Table[[#This Row],[ชื่อสัตว์เลี้ยง หรือ HN สัตว์เลี้ยง]]</f>
        <v>ไข่มุก 18758</v>
      </c>
      <c r="I125" s="19" t="str">
        <f>OfficeForms.Table[[#This Row],[ชื่อผู้ร้องเรียน]]</f>
        <v>ปราดา ลี้จินดา</v>
      </c>
      <c r="J125" s="19" t="str">
        <f>OfficeForms.Table[[#This Row],[เบอร์โทรศัพท์ผู้ร้องเรียน]]</f>
        <v>0888961414</v>
      </c>
      <c r="K125" s="19" t="str">
        <f>OfficeForms.Table[[#This Row],[หน่วยงานที่ถูกร้องเรียน]]</f>
        <v>NURSE IPD</v>
      </c>
      <c r="L125" s="19" t="str">
        <f>OfficeForms.Table[[#This Row],[กระบวนการที่ถูก Complain]]</f>
        <v>การดูแล/รักษาผู้ป่วย - IPD</v>
      </c>
      <c r="M125" s="19" t="str">
        <f>OfficeForms.Table[[#This Row],[รายละเอียดข้อร้องเรียน]]</f>
        <v>สุนัขทานminimum เข้าไปหลังจากออกจากห้อง OR เนื่องจากไม่ได้ใส่ collar</v>
      </c>
      <c r="N125" s="19" t="str">
        <f>OfficeForms.Table[[#This Row],[การแก้ไขเบื้องต้น (ถ้ามี)]]</f>
        <v>ดูแลรักษา ไม่คิดค่าอุปกรณ์และยาที่ต้องใช้รักษา คือ IV24 /minimum/transamin</v>
      </c>
      <c r="O125" s="19" t="str">
        <f>OfficeForms.Table[[#This Row],[รหัสพนักงานผู้รายงาน (เพื่อสอบถามข้อมูลเพิ่มเติม)]]</f>
        <v>0445</v>
      </c>
      <c r="P125" s="19" t="str">
        <f>OfficeForms.Table[[#This Row],[ชื่อพนักงานที่อยู่ในเหตุการณ์]]</f>
        <v>เจ้าหน้าที่ IPD</v>
      </c>
      <c r="Q125" s="19" t="str">
        <f>OfficeForms.Table[[#This Row],[ต้องคืนเงิน/ Credit note ลูกค้าหรือไม่]]</f>
        <v>ไม่ต้อง</v>
      </c>
      <c r="R125" s="19">
        <f>OfficeForms.Table[[#This Row],[Invoice'#/ Prepayment'#]]</f>
        <v>0</v>
      </c>
      <c r="S125" s="18">
        <f>OfficeForms.Table[[#This Row],[วันที่รับเงิน]]</f>
        <v>0</v>
      </c>
      <c r="T125" s="19">
        <f>OfficeForms.Table[[#This Row],[ชำระโดย]]</f>
        <v>0</v>
      </c>
      <c r="U125" s="19">
        <f>OfficeForms.Table[[#This Row],[ต้อง Adjust หรือ คืนเงินลูกค้าทางช่องทางใด]]</f>
        <v>0</v>
      </c>
      <c r="V125" s="19">
        <f>OfficeForms.Table[[#This Row],[ชื่อรายการที่ต้องคืน และมูลค่า (รวม VAT)]]</f>
        <v>0</v>
      </c>
    </row>
    <row r="126" spans="1:22" ht="28.5" hidden="1" customHeight="1">
      <c r="A126" s="19">
        <f>OfficeForms.Table[[#This Row],[Id]]</f>
        <v>128</v>
      </c>
      <c r="B126" s="18">
        <f>OfficeForms.Table[[#This Row],[Start time]]</f>
        <v>45989.4448611111</v>
      </c>
      <c r="C126" s="18">
        <f>OfficeForms.Table[[#This Row],[Completion time]]</f>
        <v>45989.448935185203</v>
      </c>
      <c r="D126" s="19" t="str">
        <f>OfficeForms.Table[[#This Row],[Email]]</f>
        <v>anonymous</v>
      </c>
      <c r="E126" s="19">
        <f>OfficeForms.Table[[#This Row],[Name]]</f>
        <v>0</v>
      </c>
      <c r="F126" s="19" t="str">
        <f>OfficeForms.Table[[#This Row],[สาขาที่เข้ารับบริการ]]</f>
        <v>สาขาเพชรเกษม</v>
      </c>
      <c r="G126" s="18">
        <f>OfficeForms.Table[[#This Row],[วันที่เกิดเหตุ]]</f>
        <v>45987</v>
      </c>
      <c r="H126" s="19" t="str">
        <f>OfficeForms.Table[[#This Row],[ชื่อสัตว์เลี้ยง หรือ HN สัตว์เลี้ยง]]</f>
        <v>Piper 15160</v>
      </c>
      <c r="I126" s="19" t="str">
        <f>OfficeForms.Table[[#This Row],[ชื่อผู้ร้องเรียน]]</f>
        <v>นวิน ศรีโมครา</v>
      </c>
      <c r="J126" s="19" t="str">
        <f>OfficeForms.Table[[#This Row],[เบอร์โทรศัพท์ผู้ร้องเรียน]]</f>
        <v>0969962954</v>
      </c>
      <c r="K126" s="19" t="str">
        <f>OfficeForms.Table[[#This Row],[หน่วยงานที่ถูกร้องเรียน]]</f>
        <v>VET</v>
      </c>
      <c r="L126" s="19" t="str">
        <f>OfficeForms.Table[[#This Row],[กระบวนการที่ถูก Complain]]</f>
        <v>การดูแล/รักษาผู้ป่วย - OPD</v>
      </c>
      <c r="M126" s="19" t="str">
        <f>OfficeForms.Table[[#This Row],[รายละเอียดข้อร้องเรียน]]</f>
        <v>ลุกค้าแจ้งว่าหมอวินิจฉัยผิดและหมอยอมรับว่าวินิจฉัยผิด(หมอไม่ได้ตั้งใจจะสื่อว่าวินิจฉัยผิดแต่เป็นเพราะหมอพูดผลการตรวจว่าปกติ) จนทำให้การรักษาช้าจนทำให้เกิดการรักษาที่ไม่ตรงจุดและเกินความจำเป็น รวมถึงหมอในเวรที่ดูแลipd รักษาตามอาการโดยไม่หาสาเหตุที่แท้จริง</v>
      </c>
      <c r="N126" s="19" t="str">
        <f>OfficeForms.Table[[#This Row],[การแก้ไขเบื้องต้น (ถ้ามี)]]</f>
        <v>พัฒนาความรู่ของหมอและด้านการสื่อสาร</v>
      </c>
      <c r="O126" s="19" t="str">
        <f>OfficeForms.Table[[#This Row],[รหัสพนักงานผู้รายงาน (เพื่อสอบถามข้อมูลเพิ่มเติม)]]</f>
        <v>0191</v>
      </c>
      <c r="P126" s="19" t="str">
        <f>OfficeForms.Table[[#This Row],[ชื่อพนักงานที่อยู่ในเหตุการณ์]]</f>
        <v>แป้ง หมอเมธ หมอหลิน หมอปุยนุ่น หมอต้นข้าว</v>
      </c>
      <c r="Q126" s="19" t="str">
        <f>OfficeForms.Table[[#This Row],[ต้องคืนเงิน/ Credit note ลูกค้าหรือไม่]]</f>
        <v>ต้อง</v>
      </c>
      <c r="R126" s="19" t="str">
        <f>OfficeForms.Table[[#This Row],[Invoice'#/ Prepayment'#]]</f>
        <v>51250004738</v>
      </c>
      <c r="S126" s="18">
        <f>OfficeForms.Table[[#This Row],[วันที่รับเงิน]]</f>
        <v>0</v>
      </c>
      <c r="T126" s="19">
        <f>OfficeForms.Table[[#This Row],[ชำระโดย]]</f>
        <v>0</v>
      </c>
      <c r="U126" s="19" t="str">
        <f>OfficeForms.Table[[#This Row],[ต้อง Adjust หรือ คืนเงินลูกค้าทางช่องทางใด]]</f>
        <v>Credit note</v>
      </c>
      <c r="V126" s="19" t="str">
        <f>OfficeForms.Table[[#This Row],[ชื่อรายการที่ต้องคืน และมูลค่า (รวม VAT)]]</f>
        <v>125273.8</v>
      </c>
    </row>
    <row r="127" spans="1:22" ht="28.5" hidden="1" customHeight="1">
      <c r="A127" s="19">
        <f>OfficeForms.Table[[#This Row],[Id]]</f>
        <v>129</v>
      </c>
      <c r="B127" s="18">
        <f>OfficeForms.Table[[#This Row],[Start time]]</f>
        <v>45989.4780439815</v>
      </c>
      <c r="C127" s="18">
        <f>OfficeForms.Table[[#This Row],[Completion time]]</f>
        <v>45989.479166666701</v>
      </c>
      <c r="D127" s="19" t="str">
        <f>OfficeForms.Table[[#This Row],[Email]]</f>
        <v>anonymous</v>
      </c>
      <c r="E127" s="19">
        <f>OfficeForms.Table[[#This Row],[Name]]</f>
        <v>0</v>
      </c>
      <c r="F127" s="19" t="str">
        <f>OfficeForms.Table[[#This Row],[สาขาที่เข้ารับบริการ]]</f>
        <v>สาขาทองหล่อ</v>
      </c>
      <c r="G127" s="18">
        <f>OfficeForms.Table[[#This Row],[วันที่เกิดเหตุ]]</f>
        <v>45987</v>
      </c>
      <c r="H127" s="19" t="str">
        <f>OfficeForms.Table[[#This Row],[ชื่อสัตว์เลี้ยง หรือ HN สัตว์เลี้ยง]]</f>
        <v xml:space="preserve">C.ลูมี่ (12451)  </v>
      </c>
      <c r="I127" s="19" t="str">
        <f>OfficeForms.Table[[#This Row],[ชื่อผู้ร้องเรียน]]</f>
        <v xml:space="preserve"> นัฐรียา ไชยกิจ 8878</v>
      </c>
      <c r="J127" s="19" t="str">
        <f>OfficeForms.Table[[#This Row],[เบอร์โทรศัพท์ผู้ร้องเรียน]]</f>
        <v>094 479 4645</v>
      </c>
      <c r="K127" s="19" t="str">
        <f>OfficeForms.Table[[#This Row],[หน่วยงานที่ถูกร้องเรียน]]</f>
        <v>VET</v>
      </c>
      <c r="L127" s="19" t="str">
        <f>OfficeForms.Table[[#This Row],[กระบวนการที่ถูก Complain]]</f>
        <v>การชำระค่ารักษาพยาบาล</v>
      </c>
      <c r="M127" s="19" t="str">
        <f>OfficeForms.Table[[#This Row],[รายละเอียดข้อร้องเรียน]]</f>
        <v>ลูกค้าใช้ทำหมันโปร 8,500 บาท แต่น้องมีการตรวจหัวใจเพิ่มเติม เจ้าของแจ้งว่า  คุณหมอไม่แจ้งว่า มีราคาตรวจหัวใจเพิ่มเติม แจ้งว่า รวมกับโปรทำหมันแล้ว</v>
      </c>
      <c r="N127" s="19" t="str">
        <f>OfficeForms.Table[[#This Row],[การแก้ไขเบื้องต้น (ถ้ามี)]]</f>
        <v>ขออภัยเจ้าของ</v>
      </c>
      <c r="O127" s="19" t="str">
        <f>OfficeForms.Table[[#This Row],[รหัสพนักงานผู้รายงาน (เพื่อสอบถามข้อมูลเพิ่มเติม)]]</f>
        <v>Front</v>
      </c>
      <c r="P127" s="19" t="str">
        <f>OfficeForms.Table[[#This Row],[ชื่อพนักงานที่อยู่ในเหตุการณ์]]</f>
        <v>Front-nan</v>
      </c>
      <c r="Q127" s="19" t="str">
        <f>OfficeForms.Table[[#This Row],[ต้องคืนเงิน/ Credit note ลูกค้าหรือไม่]]</f>
        <v>ไม่ต้อง</v>
      </c>
      <c r="R127" s="19">
        <f>OfficeForms.Table[[#This Row],[Invoice'#/ Prepayment'#]]</f>
        <v>0</v>
      </c>
      <c r="S127" s="18">
        <f>OfficeForms.Table[[#This Row],[วันที่รับเงิน]]</f>
        <v>0</v>
      </c>
      <c r="T127" s="19">
        <f>OfficeForms.Table[[#This Row],[ชำระโดย]]</f>
        <v>0</v>
      </c>
      <c r="U127" s="19">
        <f>OfficeForms.Table[[#This Row],[ต้อง Adjust หรือ คืนเงินลูกค้าทางช่องทางใด]]</f>
        <v>0</v>
      </c>
      <c r="V127" s="19">
        <f>OfficeForms.Table[[#This Row],[ชื่อรายการที่ต้องคืน และมูลค่า (รวม VAT)]]</f>
        <v>0</v>
      </c>
    </row>
    <row r="128" spans="1:22" ht="28.5" customHeight="1">
      <c r="A128" s="19">
        <f>OfficeForms.Table[[#This Row],[Id]]</f>
        <v>130</v>
      </c>
      <c r="B128" s="18">
        <f>OfficeForms.Table[[#This Row],[Start time]]</f>
        <v>45994.393634259301</v>
      </c>
      <c r="C128" s="18">
        <f>OfficeForms.Table[[#This Row],[Completion time]]</f>
        <v>45994.403136574103</v>
      </c>
      <c r="D128" s="19" t="str">
        <f>OfficeForms.Table[[#This Row],[Email]]</f>
        <v>anonymous</v>
      </c>
      <c r="E128" s="19">
        <f>OfficeForms.Table[[#This Row],[Name]]</f>
        <v>0</v>
      </c>
      <c r="F128" s="19" t="str">
        <f>OfficeForms.Table[[#This Row],[สาขาที่เข้ารับบริการ]]</f>
        <v>สาขาทองหล่อ</v>
      </c>
      <c r="G128" s="18">
        <f>OfficeForms.Table[[#This Row],[วันที่เกิดเหตุ]]</f>
        <v>45992</v>
      </c>
      <c r="H128" s="19" t="str">
        <f>OfficeForms.Table[[#This Row],[ชื่อสัตว์เลี้ยง หรือ HN สัตว์เลี้ยง]]</f>
        <v>บัดดี้ 18169</v>
      </c>
      <c r="I128" s="19" t="str">
        <f>OfficeForms.Table[[#This Row],[ชื่อผู้ร้องเรียน]]</f>
        <v>คุณรุ่งนภา</v>
      </c>
      <c r="J128" s="19" t="str">
        <f>OfficeForms.Table[[#This Row],[เบอร์โทรศัพท์ผู้ร้องเรียน]]</f>
        <v>0859339338</v>
      </c>
      <c r="K128" s="19" t="str">
        <f>OfficeForms.Table[[#This Row],[หน่วยงานที่ถูกร้องเรียน]]</f>
        <v>CASHIER</v>
      </c>
      <c r="L128" s="19" t="str">
        <f>OfficeForms.Table[[#This Row],[กระบวนการที่ถูก Complain]]</f>
        <v>ค่าใช้จ่าย</v>
      </c>
      <c r="M128" s="19" t="str">
        <f>OfficeForms.Table[[#This Row],[รายละเอียดข้อร้องเรียน]]</f>
        <v>Cashier ไม่แนะนำว่ามีสิทธิพิเศษอะไรบ้าง ทำให้พลาดผลประโยชน์ไปเพราะน้องมาAdmit เสียค่าใช้จ่ายไปเป็นแสนๆ</v>
      </c>
      <c r="N128" s="19" t="str">
        <f>OfficeForms.Table[[#This Row],[การแก้ไขเบื้องต้น (ถ้ามี)]]</f>
        <v>Cashier Set สิทธิพิเศษให้แล้ว และให้ราคาPromotion ในการมาทำU/S ครั้งหน้าเป็น 1,490 บาท</v>
      </c>
      <c r="O128" s="19" t="str">
        <f>OfficeForms.Table[[#This Row],[รหัสพนักงานผู้รายงาน (เพื่อสอบถามข้อมูลเพิ่มเติม)]]</f>
        <v>0910</v>
      </c>
      <c r="P128" s="19" t="str">
        <f>OfficeForms.Table[[#This Row],[ชื่อพนักงานที่อยู่ในเหตุการณ์]]</f>
        <v>จิ๊บ</v>
      </c>
      <c r="Q128" s="19" t="str">
        <f>OfficeForms.Table[[#This Row],[ต้องคืนเงิน/ Credit note ลูกค้าหรือไม่]]</f>
        <v>ไม่ต้อง</v>
      </c>
      <c r="R128" s="19">
        <f>OfficeForms.Table[[#This Row],[Invoice'#/ Prepayment'#]]</f>
        <v>0</v>
      </c>
      <c r="S128" s="18">
        <f>OfficeForms.Table[[#This Row],[วันที่รับเงิน]]</f>
        <v>0</v>
      </c>
      <c r="T128" s="19">
        <f>OfficeForms.Table[[#This Row],[ชำระโดย]]</f>
        <v>0</v>
      </c>
      <c r="U128" s="19">
        <f>OfficeForms.Table[[#This Row],[ต้อง Adjust หรือ คืนเงินลูกค้าทางช่องทางใด]]</f>
        <v>0</v>
      </c>
      <c r="V128" s="19">
        <f>OfficeForms.Table[[#This Row],[ชื่อรายการที่ต้องคืน และมูลค่า (รวม VAT)]]</f>
        <v>0</v>
      </c>
    </row>
    <row r="129" spans="1:22" ht="28.5" customHeight="1">
      <c r="A129" s="19">
        <f>OfficeForms.Table[[#This Row],[Id]]</f>
        <v>131</v>
      </c>
      <c r="B129" s="18">
        <f>OfficeForms.Table[[#This Row],[Start time]]</f>
        <v>45996.052210648202</v>
      </c>
      <c r="C129" s="18">
        <f>OfficeForms.Table[[#This Row],[Completion time]]</f>
        <v>45996.053865740701</v>
      </c>
      <c r="D129" s="19" t="str">
        <f>OfficeForms.Table[[#This Row],[Email]]</f>
        <v>anonymous</v>
      </c>
      <c r="E129" s="19">
        <f>OfficeForms.Table[[#This Row],[Name]]</f>
        <v>0</v>
      </c>
      <c r="F129" s="19" t="str">
        <f>OfficeForms.Table[[#This Row],[สาขาที่เข้ารับบริการ]]</f>
        <v>สาขาทองหล่อ</v>
      </c>
      <c r="G129" s="18">
        <f>OfficeForms.Table[[#This Row],[วันที่เกิดเหตุ]]</f>
        <v>45995</v>
      </c>
      <c r="H129" s="19" t="str">
        <f>OfficeForms.Table[[#This Row],[ชื่อสัตว์เลี้ยง หรือ HN สัตว์เลี้ยง]]</f>
        <v>Simba (19219)</v>
      </c>
      <c r="I129" s="19" t="str">
        <f>OfficeForms.Table[[#This Row],[ชื่อผู้ร้องเรียน]]</f>
        <v>ษมาภรณ์ พลกุล  (3450)</v>
      </c>
      <c r="J129" s="19" t="str">
        <f>OfficeForms.Table[[#This Row],[เบอร์โทรศัพท์ผู้ร้องเรียน]]</f>
        <v>090 880 8715</v>
      </c>
      <c r="K129" s="19" t="str">
        <f>OfficeForms.Table[[#This Row],[หน่วยงานที่ถูกร้องเรียน]]</f>
        <v>NURSE IPD</v>
      </c>
      <c r="L129" s="19" t="str">
        <f>OfficeForms.Table[[#This Row],[กระบวนการที่ถูก Complain]]</f>
        <v>การดูแล/รักษาผู้ป่วย - IPD</v>
      </c>
      <c r="M129" s="19" t="str">
        <f>OfficeForms.Table[[#This Row],[รายละเอียดข้อร้องเรียน]]</f>
        <v>ช่วง 19.30 น เจ้าของโทรมาแจ้งว่ายังไม่ได้รับข้อความอัพเดตอาการ</v>
      </c>
      <c r="N129" s="19" t="str">
        <f>OfficeForms.Table[[#This Row],[การแก้ไขเบื้องต้น (ถ้ามี)]]</f>
        <v>ขออภัยเจ้าของและโทรแจ้งวอร์ดให้ส่งอัพเดต</v>
      </c>
      <c r="O129" s="19" t="str">
        <f>OfficeForms.Table[[#This Row],[รหัสพนักงานผู้รายงาน (เพื่อสอบถามข้อมูลเพิ่มเติม)]]</f>
        <v>FRONT</v>
      </c>
      <c r="P129" s="19" t="str">
        <f>OfficeForms.Table[[#This Row],[ชื่อพนักงานที่อยู่ในเหตุการณ์]]</f>
        <v>FRONT</v>
      </c>
      <c r="Q129" s="19" t="str">
        <f>OfficeForms.Table[[#This Row],[ต้องคืนเงิน/ Credit note ลูกค้าหรือไม่]]</f>
        <v>ไม่ต้อง</v>
      </c>
      <c r="R129" s="19">
        <f>OfficeForms.Table[[#This Row],[Invoice'#/ Prepayment'#]]</f>
        <v>0</v>
      </c>
      <c r="S129" s="18">
        <f>OfficeForms.Table[[#This Row],[วันที่รับเงิน]]</f>
        <v>0</v>
      </c>
      <c r="T129" s="19">
        <f>OfficeForms.Table[[#This Row],[ชำระโดย]]</f>
        <v>0</v>
      </c>
      <c r="U129" s="19">
        <f>OfficeForms.Table[[#This Row],[ต้อง Adjust หรือ คืนเงินลูกค้าทางช่องทางใด]]</f>
        <v>0</v>
      </c>
      <c r="V129" s="19">
        <f>OfficeForms.Table[[#This Row],[ชื่อรายการที่ต้องคืน และมูลค่า (รวม VAT)]]</f>
        <v>0</v>
      </c>
    </row>
    <row r="130" spans="1:22" ht="40.5" customHeight="1">
      <c r="A130" s="19">
        <f>OfficeForms.Table[[#This Row],[Id]]</f>
        <v>132</v>
      </c>
      <c r="B130" s="18">
        <f>OfficeForms.Table[[#This Row],[Start time]]</f>
        <v>46000.4069212963</v>
      </c>
      <c r="C130" s="18">
        <f>OfficeForms.Table[[#This Row],[Completion time]]</f>
        <v>46000.412407407399</v>
      </c>
      <c r="D130" s="19" t="str">
        <f>OfficeForms.Table[[#This Row],[Email]]</f>
        <v>anonymous</v>
      </c>
      <c r="E130" s="19">
        <f>OfficeForms.Table[[#This Row],[Name]]</f>
        <v>0</v>
      </c>
      <c r="F130" s="19" t="str">
        <f>OfficeForms.Table[[#This Row],[สาขาที่เข้ารับบริการ]]</f>
        <v>สาขาทองหล่อ</v>
      </c>
      <c r="G130" s="18">
        <f>OfficeForms.Table[[#This Row],[วันที่เกิดเหตุ]]</f>
        <v>45999</v>
      </c>
      <c r="H130" s="19" t="str">
        <f>OfficeForms.Table[[#This Row],[ชื่อสัตว์เลี้ยง หรือ HN สัตว์เลี้ยง]]</f>
        <v>มอมแมม HN 740</v>
      </c>
      <c r="I130" s="19" t="str">
        <f>OfficeForms.Table[[#This Row],[ชื่อผู้ร้องเรียน]]</f>
        <v>เจ้าของมอมแมม</v>
      </c>
      <c r="J130" s="19" t="str">
        <f>OfficeForms.Table[[#This Row],[เบอร์โทรศัพท์ผู้ร้องเรียน]]</f>
        <v>0818754145</v>
      </c>
      <c r="K130" s="19" t="str">
        <f>OfficeForms.Table[[#This Row],[หน่วยงานที่ถูกร้องเรียน]]</f>
        <v>NURSE OPD</v>
      </c>
      <c r="L130" s="19" t="str">
        <f>OfficeForms.Table[[#This Row],[กระบวนการที่ถูก Complain]]</f>
        <v>การจัดทำนัดหมายติดตามอาการ</v>
      </c>
      <c r="M130" s="19" t="str">
        <f>OfficeForms.Table[[#This Row],[รายละเอียดข้อร้องเรียน]]</f>
        <v>น้องมอมแมมได้ใบนัดหมายไปวันที่2/12/68 และมาตามนัดพบหมอPW สรุปหมอลา ตรวจสอบในระบบไม่มีนัด ทำให้ไม่ได้ตรวจกลับบ้านไป และพบว่าไม่มีพยาบาลโทรไปConfirm นัด ส่งLineมาแจ้งอย่างเดียว</v>
      </c>
      <c r="N130" s="19" t="str">
        <f>OfficeForms.Table[[#This Row],[การแก้ไขเบื้องต้น (ถ้ามี)]]</f>
        <v>นัดหมายพบหมอPW ให้ใหม่วันที่9/12/68 และทำการขอโทษลูกค้าช</v>
      </c>
      <c r="O130" s="19" t="str">
        <f>OfficeForms.Table[[#This Row],[รหัสพนักงานผู้รายงาน (เพื่อสอบถามข้อมูลเพิ่มเติม)]]</f>
        <v>0910</v>
      </c>
      <c r="P130" s="19" t="str">
        <f>OfficeForms.Table[[#This Row],[ชื่อพนักงานที่อยู่ในเหตุการณ์]]</f>
        <v>บอส แจ๊ค</v>
      </c>
      <c r="Q130" s="19" t="str">
        <f>OfficeForms.Table[[#This Row],[ต้องคืนเงิน/ Credit note ลูกค้าหรือไม่]]</f>
        <v>ไม่ต้อง</v>
      </c>
      <c r="R130" s="19">
        <f>OfficeForms.Table[[#This Row],[Invoice'#/ Prepayment'#]]</f>
        <v>0</v>
      </c>
      <c r="S130" s="18">
        <f>OfficeForms.Table[[#This Row],[วันที่รับเงิน]]</f>
        <v>0</v>
      </c>
      <c r="T130" s="19">
        <f>OfficeForms.Table[[#This Row],[ชำระโดย]]</f>
        <v>0</v>
      </c>
      <c r="U130" s="19">
        <f>OfficeForms.Table[[#This Row],[ต้อง Adjust หรือ คืนเงินลูกค้าทางช่องทางใด]]</f>
        <v>0</v>
      </c>
      <c r="V130" s="19">
        <f>OfficeForms.Table[[#This Row],[ชื่อรายการที่ต้องคืน และมูลค่า (รวม VAT)]]</f>
        <v>0</v>
      </c>
    </row>
    <row r="137" spans="1:22" ht="28.5" customHeight="1">
      <c r="C137" s="31"/>
    </row>
  </sheetData>
  <dataValidations count="2">
    <dataValidation type="list" allowBlank="1" showInputMessage="1" showErrorMessage="1" sqref="X112 X2:X89 X90:X106" xr:uid="{218AA2F8-AF1E-4A3F-9E59-BB11E1BD301D}">
      <formula1>$AD$2:$AD$10</formula1>
    </dataValidation>
    <dataValidation type="list" allowBlank="1" showInputMessage="1" showErrorMessage="1" sqref="L2:L89 L90:L92 W2:W89 W90:W102" xr:uid="{FAF20373-A94B-4067-BE3D-774A11952DF9}">
      <formula1>$AC$2:$AC$14</formula1>
    </dataValidation>
  </dataValidations>
  <pageMargins left="0.7" right="0.7" top="0.75" bottom="0.75" header="0.3" footer="0.3"/>
  <pageSetup paperSize="8"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CF398-361B-4BC4-9CDA-B08F16479710}">
  <dimension ref="A1:B24"/>
  <sheetViews>
    <sheetView zoomScaleNormal="100" workbookViewId="0"/>
  </sheetViews>
  <sheetFormatPr defaultRowHeight="14.45"/>
  <cols>
    <col min="1" max="1" width="19.85546875" bestFit="1" customWidth="1"/>
    <col min="2" max="2" width="17.28515625" bestFit="1" customWidth="1"/>
    <col min="3" max="3" width="11.7109375" bestFit="1" customWidth="1"/>
    <col min="4" max="4" width="6.28515625" bestFit="1" customWidth="1"/>
    <col min="5" max="5" width="6.140625" bestFit="1" customWidth="1"/>
    <col min="6" max="6" width="5.85546875" bestFit="1" customWidth="1"/>
    <col min="7" max="7" width="11.28515625" bestFit="1" customWidth="1"/>
    <col min="8" max="39" width="16.28515625" bestFit="1" customWidth="1"/>
    <col min="40" max="40" width="11.28515625" bestFit="1" customWidth="1"/>
  </cols>
  <sheetData>
    <row r="1" spans="1:2">
      <c r="A1" s="6" t="s">
        <v>5</v>
      </c>
      <c r="B1" t="s" vm="1">
        <v>31</v>
      </c>
    </row>
    <row r="3" spans="1:2">
      <c r="A3" s="6" t="s">
        <v>1144</v>
      </c>
      <c r="B3" s="6" t="s">
        <v>1145</v>
      </c>
    </row>
    <row r="5" spans="1:2">
      <c r="A5" s="6" t="s">
        <v>1146</v>
      </c>
    </row>
    <row r="8" spans="1:2" ht="23.25" customHeight="1"/>
    <row r="9" spans="1:2" ht="27" customHeight="1"/>
    <row r="20" ht="16.5" customHeight="1"/>
    <row r="24" ht="28.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FF59-2419-4661-B898-0B43ACFDBC62}">
  <dimension ref="B2:C23"/>
  <sheetViews>
    <sheetView workbookViewId="0">
      <selection activeCell="B16" sqref="B16"/>
    </sheetView>
  </sheetViews>
  <sheetFormatPr defaultRowHeight="14.45"/>
  <cols>
    <col min="2" max="2" width="100.5703125" customWidth="1"/>
    <col min="3" max="3" width="72" customWidth="1"/>
  </cols>
  <sheetData>
    <row r="2" spans="2:3">
      <c r="B2" t="s">
        <v>1147</v>
      </c>
      <c r="C2" t="s">
        <v>1148</v>
      </c>
    </row>
    <row r="3" spans="2:3">
      <c r="B3" t="s">
        <v>1149</v>
      </c>
      <c r="C3" t="s">
        <v>1150</v>
      </c>
    </row>
    <row r="4" spans="2:3">
      <c r="B4" t="s">
        <v>1151</v>
      </c>
      <c r="C4" t="s">
        <v>1152</v>
      </c>
    </row>
    <row r="5" spans="2:3">
      <c r="C5" t="s">
        <v>1153</v>
      </c>
    </row>
    <row r="7" spans="2:3">
      <c r="B7" t="s">
        <v>1154</v>
      </c>
    </row>
    <row r="8" spans="2:3">
      <c r="B8" t="s">
        <v>1155</v>
      </c>
    </row>
    <row r="10" spans="2:3">
      <c r="B10" t="s">
        <v>1156</v>
      </c>
      <c r="C10" t="s">
        <v>1157</v>
      </c>
    </row>
    <row r="11" spans="2:3">
      <c r="B11" t="s">
        <v>1158</v>
      </c>
      <c r="C11" t="s">
        <v>1159</v>
      </c>
    </row>
    <row r="14" spans="2:3">
      <c r="B14" t="s">
        <v>1160</v>
      </c>
    </row>
    <row r="15" spans="2:3">
      <c r="B15" t="s">
        <v>1161</v>
      </c>
    </row>
    <row r="18" spans="2:2">
      <c r="B18" t="s">
        <v>1162</v>
      </c>
    </row>
    <row r="21" spans="2:2">
      <c r="B21" t="s">
        <v>1163</v>
      </c>
    </row>
    <row r="23" spans="2:2">
      <c r="B23" t="s">
        <v>1164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E231-8842-4DC2-AC8E-004E7EC69252}">
  <dimension ref="A3:B161"/>
  <sheetViews>
    <sheetView topLeftCell="A13" workbookViewId="0">
      <selection activeCell="A13" sqref="A13"/>
    </sheetView>
  </sheetViews>
  <sheetFormatPr defaultRowHeight="14.45"/>
  <cols>
    <col min="1" max="1" width="255.7109375" bestFit="1" customWidth="1"/>
    <col min="2" max="2" width="11" bestFit="1" customWidth="1"/>
    <col min="3" max="63" width="8.42578125" bestFit="1" customWidth="1"/>
    <col min="64" max="64" width="11.28515625" bestFit="1" customWidth="1"/>
  </cols>
  <sheetData>
    <row r="3" spans="1:2">
      <c r="A3" s="6" t="s">
        <v>1165</v>
      </c>
      <c r="B3" t="s">
        <v>1144</v>
      </c>
    </row>
    <row r="4" spans="1:2">
      <c r="A4" s="7" t="s">
        <v>1129</v>
      </c>
      <c r="B4">
        <v>8</v>
      </c>
    </row>
    <row r="5" spans="1:2">
      <c r="A5" s="7" t="s">
        <v>781</v>
      </c>
      <c r="B5">
        <v>3</v>
      </c>
    </row>
    <row r="6" spans="1:2">
      <c r="A6" s="8" t="s">
        <v>39</v>
      </c>
      <c r="B6">
        <v>2</v>
      </c>
    </row>
    <row r="7" spans="1:2">
      <c r="A7" s="17" t="s">
        <v>498</v>
      </c>
      <c r="B7">
        <v>1</v>
      </c>
    </row>
    <row r="8" spans="1:2">
      <c r="A8" s="17" t="s">
        <v>393</v>
      </c>
      <c r="B8">
        <v>1</v>
      </c>
    </row>
    <row r="9" spans="1:2">
      <c r="A9" s="8" t="s">
        <v>150</v>
      </c>
      <c r="B9">
        <v>1</v>
      </c>
    </row>
    <row r="10" spans="1:2">
      <c r="A10" s="17" t="s">
        <v>380</v>
      </c>
      <c r="B10">
        <v>1</v>
      </c>
    </row>
    <row r="11" spans="1:2">
      <c r="A11" s="7" t="s">
        <v>842</v>
      </c>
      <c r="B11">
        <v>7</v>
      </c>
    </row>
    <row r="12" spans="1:2">
      <c r="A12" s="8" t="s">
        <v>39</v>
      </c>
      <c r="B12">
        <v>7</v>
      </c>
    </row>
    <row r="13" spans="1:2">
      <c r="A13" s="17" t="s">
        <v>445</v>
      </c>
      <c r="B13">
        <v>1</v>
      </c>
    </row>
    <row r="14" spans="1:2">
      <c r="A14" s="17" t="s">
        <v>180</v>
      </c>
      <c r="B14">
        <v>1</v>
      </c>
    </row>
    <row r="15" spans="1:2">
      <c r="A15" s="17" t="s">
        <v>98</v>
      </c>
      <c r="B15">
        <v>1</v>
      </c>
    </row>
    <row r="16" spans="1:2">
      <c r="A16" s="17" t="s">
        <v>420</v>
      </c>
      <c r="B16">
        <v>1</v>
      </c>
    </row>
    <row r="17" spans="1:2">
      <c r="A17" s="17" t="s">
        <v>414</v>
      </c>
      <c r="B17">
        <v>1</v>
      </c>
    </row>
    <row r="18" spans="1:2">
      <c r="A18" s="17" t="s">
        <v>429</v>
      </c>
      <c r="B18">
        <v>1</v>
      </c>
    </row>
    <row r="19" spans="1:2">
      <c r="A19" s="17" t="s">
        <v>128</v>
      </c>
      <c r="B19">
        <v>1</v>
      </c>
    </row>
    <row r="20" spans="1:2">
      <c r="A20" s="7" t="s">
        <v>662</v>
      </c>
      <c r="B20">
        <v>6</v>
      </c>
    </row>
    <row r="21" spans="1:2">
      <c r="A21" s="8" t="s">
        <v>39</v>
      </c>
      <c r="B21">
        <v>6</v>
      </c>
    </row>
    <row r="22" spans="1:2">
      <c r="A22" s="17" t="s">
        <v>531</v>
      </c>
      <c r="B22">
        <v>1</v>
      </c>
    </row>
    <row r="23" spans="1:2">
      <c r="A23" s="17" t="s">
        <v>371</v>
      </c>
      <c r="B23">
        <v>1</v>
      </c>
    </row>
    <row r="24" spans="1:2">
      <c r="A24" s="17" t="s">
        <v>527</v>
      </c>
      <c r="B24">
        <v>1</v>
      </c>
    </row>
    <row r="25" spans="1:2">
      <c r="A25" s="17" t="s">
        <v>435</v>
      </c>
      <c r="B25">
        <v>1</v>
      </c>
    </row>
    <row r="26" spans="1:2">
      <c r="A26" s="17" t="s">
        <v>663</v>
      </c>
      <c r="B26">
        <v>1</v>
      </c>
    </row>
    <row r="27" spans="1:2">
      <c r="A27" s="17" t="s">
        <v>667</v>
      </c>
      <c r="B27">
        <v>1</v>
      </c>
    </row>
    <row r="28" spans="1:2">
      <c r="A28" s="7" t="s">
        <v>580</v>
      </c>
      <c r="B28">
        <v>12</v>
      </c>
    </row>
    <row r="29" spans="1:2">
      <c r="A29" s="8" t="s">
        <v>23</v>
      </c>
      <c r="B29">
        <v>1</v>
      </c>
    </row>
    <row r="30" spans="1:2">
      <c r="A30" s="17" t="s">
        <v>633</v>
      </c>
      <c r="B30">
        <v>1</v>
      </c>
    </row>
    <row r="31" spans="1:2">
      <c r="A31" s="8" t="s">
        <v>39</v>
      </c>
      <c r="B31">
        <v>8</v>
      </c>
    </row>
    <row r="32" spans="1:2">
      <c r="A32" s="17" t="s">
        <v>252</v>
      </c>
      <c r="B32">
        <v>1</v>
      </c>
    </row>
    <row r="33" spans="1:2">
      <c r="A33" s="17" t="s">
        <v>328</v>
      </c>
      <c r="B33">
        <v>1</v>
      </c>
    </row>
    <row r="34" spans="1:2">
      <c r="A34" s="17" t="s">
        <v>546</v>
      </c>
      <c r="B34">
        <v>1</v>
      </c>
    </row>
    <row r="35" spans="1:2">
      <c r="A35" s="17" t="s">
        <v>512</v>
      </c>
      <c r="B35">
        <v>1</v>
      </c>
    </row>
    <row r="36" spans="1:2">
      <c r="A36" s="17" t="s">
        <v>568</v>
      </c>
      <c r="B36">
        <v>1</v>
      </c>
    </row>
    <row r="37" spans="1:2">
      <c r="A37" s="17" t="s">
        <v>615</v>
      </c>
      <c r="B37">
        <v>1</v>
      </c>
    </row>
    <row r="38" spans="1:2">
      <c r="A38" s="17" t="s">
        <v>621</v>
      </c>
      <c r="B38">
        <v>1</v>
      </c>
    </row>
    <row r="39" spans="1:2">
      <c r="A39" s="17" t="s">
        <v>692</v>
      </c>
      <c r="B39">
        <v>1</v>
      </c>
    </row>
    <row r="40" spans="1:2">
      <c r="A40" s="8" t="s">
        <v>150</v>
      </c>
      <c r="B40">
        <v>1</v>
      </c>
    </row>
    <row r="41" spans="1:2">
      <c r="A41" s="17" t="s">
        <v>581</v>
      </c>
      <c r="B41">
        <v>1</v>
      </c>
    </row>
    <row r="42" spans="1:2">
      <c r="A42" s="8" t="s">
        <v>157</v>
      </c>
      <c r="B42">
        <v>2</v>
      </c>
    </row>
    <row r="43" spans="1:2">
      <c r="A43" s="17" t="s">
        <v>398</v>
      </c>
      <c r="B43">
        <v>1</v>
      </c>
    </row>
    <row r="44" spans="1:2">
      <c r="A44" s="17" t="s">
        <v>658</v>
      </c>
      <c r="B44">
        <v>1</v>
      </c>
    </row>
    <row r="45" spans="1:2">
      <c r="A45" s="7" t="s">
        <v>587</v>
      </c>
      <c r="B45">
        <v>15</v>
      </c>
    </row>
    <row r="46" spans="1:2">
      <c r="A46" s="8" t="s">
        <v>31</v>
      </c>
      <c r="B46">
        <v>1</v>
      </c>
    </row>
    <row r="47" spans="1:2">
      <c r="A47" s="17" t="s">
        <v>507</v>
      </c>
      <c r="B47">
        <v>1</v>
      </c>
    </row>
    <row r="48" spans="1:2">
      <c r="A48" s="8" t="s">
        <v>39</v>
      </c>
      <c r="B48">
        <v>10</v>
      </c>
    </row>
    <row r="49" spans="1:2">
      <c r="A49" s="17" t="s">
        <v>79</v>
      </c>
      <c r="B49">
        <v>1</v>
      </c>
    </row>
    <row r="50" spans="1:2">
      <c r="A50" s="17" t="s">
        <v>166</v>
      </c>
      <c r="B50">
        <v>1</v>
      </c>
    </row>
    <row r="51" spans="1:2">
      <c r="A51" s="17" t="s">
        <v>516</v>
      </c>
      <c r="B51">
        <v>1</v>
      </c>
    </row>
    <row r="52" spans="1:2">
      <c r="A52" s="17" t="s">
        <v>325</v>
      </c>
      <c r="B52">
        <v>1</v>
      </c>
    </row>
    <row r="53" spans="1:2">
      <c r="A53" s="17" t="s">
        <v>110</v>
      </c>
      <c r="B53">
        <v>1</v>
      </c>
    </row>
    <row r="54" spans="1:2">
      <c r="A54" s="17" t="s">
        <v>122</v>
      </c>
      <c r="B54">
        <v>1</v>
      </c>
    </row>
    <row r="55" spans="1:2">
      <c r="A55" s="17" t="s">
        <v>116</v>
      </c>
      <c r="B55">
        <v>1</v>
      </c>
    </row>
    <row r="56" spans="1:2">
      <c r="A56" s="17" t="s">
        <v>598</v>
      </c>
      <c r="B56">
        <v>1</v>
      </c>
    </row>
    <row r="57" spans="1:2">
      <c r="A57" s="17" t="s">
        <v>681</v>
      </c>
      <c r="B57">
        <v>1</v>
      </c>
    </row>
    <row r="58" spans="1:2">
      <c r="A58" s="17" t="s">
        <v>686</v>
      </c>
      <c r="B58">
        <v>1</v>
      </c>
    </row>
    <row r="59" spans="1:2">
      <c r="A59" s="8" t="s">
        <v>150</v>
      </c>
      <c r="B59">
        <v>2</v>
      </c>
    </row>
    <row r="60" spans="1:2">
      <c r="A60" s="17" t="s">
        <v>191</v>
      </c>
      <c r="B60">
        <v>1</v>
      </c>
    </row>
    <row r="61" spans="1:2">
      <c r="A61" s="17" t="s">
        <v>588</v>
      </c>
      <c r="B61">
        <v>1</v>
      </c>
    </row>
    <row r="62" spans="1:2">
      <c r="A62" s="8" t="s">
        <v>157</v>
      </c>
      <c r="B62">
        <v>2</v>
      </c>
    </row>
    <row r="63" spans="1:2">
      <c r="A63" s="17" t="s">
        <v>258</v>
      </c>
      <c r="B63">
        <v>1</v>
      </c>
    </row>
    <row r="64" spans="1:2">
      <c r="A64" s="17" t="s">
        <v>594</v>
      </c>
      <c r="B64">
        <v>1</v>
      </c>
    </row>
    <row r="65" spans="1:2">
      <c r="A65" s="7" t="s">
        <v>996</v>
      </c>
      <c r="B65">
        <v>1</v>
      </c>
    </row>
    <row r="66" spans="1:2">
      <c r="A66" s="8" t="s">
        <v>23</v>
      </c>
      <c r="B66">
        <v>1</v>
      </c>
    </row>
    <row r="67" spans="1:2">
      <c r="A67" s="17" t="s">
        <v>27</v>
      </c>
      <c r="B67">
        <v>1</v>
      </c>
    </row>
    <row r="68" spans="1:2">
      <c r="A68" s="7" t="s">
        <v>1136</v>
      </c>
      <c r="B68">
        <v>1</v>
      </c>
    </row>
    <row r="69" spans="1:2">
      <c r="A69" s="8" t="s">
        <v>150</v>
      </c>
      <c r="B69">
        <v>1</v>
      </c>
    </row>
    <row r="70" spans="1:2">
      <c r="A70" s="17" t="s">
        <v>197</v>
      </c>
      <c r="B70">
        <v>1</v>
      </c>
    </row>
    <row r="71" spans="1:2">
      <c r="A71" s="7" t="s">
        <v>710</v>
      </c>
      <c r="B71">
        <v>4</v>
      </c>
    </row>
    <row r="72" spans="1:2">
      <c r="A72" s="7" t="s">
        <v>603</v>
      </c>
      <c r="B72">
        <v>12</v>
      </c>
    </row>
    <row r="73" spans="1:2">
      <c r="A73" s="8" t="s">
        <v>31</v>
      </c>
      <c r="B73">
        <v>1</v>
      </c>
    </row>
    <row r="74" spans="1:2">
      <c r="A74" s="17" t="s">
        <v>703</v>
      </c>
      <c r="B74">
        <v>1</v>
      </c>
    </row>
    <row r="75" spans="1:2">
      <c r="A75" s="8" t="s">
        <v>39</v>
      </c>
      <c r="B75">
        <v>11</v>
      </c>
    </row>
    <row r="76" spans="1:2">
      <c r="A76" s="17" t="s">
        <v>104</v>
      </c>
      <c r="B76">
        <v>1</v>
      </c>
    </row>
    <row r="77" spans="1:2">
      <c r="A77" s="17" t="s">
        <v>148</v>
      </c>
      <c r="B77">
        <v>1</v>
      </c>
    </row>
    <row r="78" spans="1:2">
      <c r="A78" s="17" t="s">
        <v>474</v>
      </c>
      <c r="B78">
        <v>1</v>
      </c>
    </row>
    <row r="79" spans="1:2">
      <c r="A79" s="17" t="s">
        <v>294</v>
      </c>
      <c r="B79">
        <v>1</v>
      </c>
    </row>
    <row r="80" spans="1:2">
      <c r="A80" s="17" t="s">
        <v>133</v>
      </c>
      <c r="B80">
        <v>1</v>
      </c>
    </row>
    <row r="81" spans="1:2">
      <c r="A81" s="17" t="s">
        <v>480</v>
      </c>
      <c r="B81">
        <v>1</v>
      </c>
    </row>
    <row r="82" spans="1:2">
      <c r="A82" s="17" t="s">
        <v>173</v>
      </c>
      <c r="B82">
        <v>1</v>
      </c>
    </row>
    <row r="83" spans="1:2">
      <c r="A83" s="17" t="s">
        <v>361</v>
      </c>
      <c r="B83">
        <v>1</v>
      </c>
    </row>
    <row r="84" spans="1:2">
      <c r="A84" s="17" t="s">
        <v>493</v>
      </c>
      <c r="B84">
        <v>1</v>
      </c>
    </row>
    <row r="85" spans="1:2">
      <c r="A85" s="17" t="s">
        <v>602</v>
      </c>
      <c r="B85">
        <v>1</v>
      </c>
    </row>
    <row r="86" spans="1:2">
      <c r="A86" s="17" t="s">
        <v>627</v>
      </c>
      <c r="B86">
        <v>1</v>
      </c>
    </row>
    <row r="87" spans="1:2">
      <c r="A87" s="7" t="s">
        <v>1126</v>
      </c>
      <c r="B87">
        <v>9</v>
      </c>
    </row>
    <row r="88" spans="1:2">
      <c r="A88" s="8" t="s">
        <v>31</v>
      </c>
      <c r="B88">
        <v>1</v>
      </c>
    </row>
    <row r="89" spans="1:2">
      <c r="A89" s="17" t="s">
        <v>35</v>
      </c>
      <c r="B89">
        <v>1</v>
      </c>
    </row>
    <row r="90" spans="1:2">
      <c r="A90" s="8" t="s">
        <v>39</v>
      </c>
      <c r="B90">
        <v>7</v>
      </c>
    </row>
    <row r="91" spans="1:2">
      <c r="A91" s="17" t="s">
        <v>143</v>
      </c>
      <c r="B91">
        <v>1</v>
      </c>
    </row>
    <row r="92" spans="1:2">
      <c r="A92" s="17" t="s">
        <v>289</v>
      </c>
      <c r="B92">
        <v>1</v>
      </c>
    </row>
    <row r="93" spans="1:2">
      <c r="A93" s="17" t="s">
        <v>560</v>
      </c>
      <c r="B93">
        <v>1</v>
      </c>
    </row>
    <row r="94" spans="1:2">
      <c r="A94" s="17" t="s">
        <v>552</v>
      </c>
      <c r="B94">
        <v>1</v>
      </c>
    </row>
    <row r="95" spans="1:2">
      <c r="A95" s="17" t="s">
        <v>336</v>
      </c>
      <c r="B95">
        <v>1</v>
      </c>
    </row>
    <row r="96" spans="1:2">
      <c r="A96" s="17" t="s">
        <v>376</v>
      </c>
      <c r="B96">
        <v>1</v>
      </c>
    </row>
    <row r="97" spans="1:2">
      <c r="A97" s="17" t="s">
        <v>85</v>
      </c>
      <c r="B97">
        <v>1</v>
      </c>
    </row>
    <row r="98" spans="1:2">
      <c r="A98" s="8" t="s">
        <v>157</v>
      </c>
      <c r="B98">
        <v>1</v>
      </c>
    </row>
    <row r="99" spans="1:2">
      <c r="A99" s="17" t="s">
        <v>265</v>
      </c>
      <c r="B99">
        <v>1</v>
      </c>
    </row>
    <row r="100" spans="1:2">
      <c r="A100" s="7" t="s">
        <v>576</v>
      </c>
      <c r="B100">
        <v>21</v>
      </c>
    </row>
    <row r="101" spans="1:2">
      <c r="A101" s="8" t="s">
        <v>23</v>
      </c>
      <c r="B101">
        <v>1</v>
      </c>
    </row>
    <row r="102" spans="1:2">
      <c r="A102" s="17" t="s">
        <v>638</v>
      </c>
      <c r="B102">
        <v>1</v>
      </c>
    </row>
    <row r="103" spans="1:2">
      <c r="A103" s="8" t="s">
        <v>31</v>
      </c>
      <c r="B103">
        <v>2</v>
      </c>
    </row>
    <row r="104" spans="1:2">
      <c r="A104" s="17" t="s">
        <v>226</v>
      </c>
      <c r="B104">
        <v>1</v>
      </c>
    </row>
    <row r="105" spans="1:2">
      <c r="A105" s="17" t="s">
        <v>697</v>
      </c>
      <c r="B105">
        <v>1</v>
      </c>
    </row>
    <row r="106" spans="1:2">
      <c r="A106" s="8" t="s">
        <v>39</v>
      </c>
      <c r="B106">
        <v>17</v>
      </c>
    </row>
    <row r="107" spans="1:2">
      <c r="A107" s="17" t="s">
        <v>43</v>
      </c>
      <c r="B107">
        <v>1</v>
      </c>
    </row>
    <row r="108" spans="1:2">
      <c r="A108" s="17" t="s">
        <v>140</v>
      </c>
      <c r="B108">
        <v>1</v>
      </c>
    </row>
    <row r="109" spans="1:2">
      <c r="A109" s="17" t="s">
        <v>558</v>
      </c>
      <c r="B109">
        <v>1</v>
      </c>
    </row>
    <row r="110" spans="1:2">
      <c r="A110" s="17" t="s">
        <v>409</v>
      </c>
      <c r="B110">
        <v>1</v>
      </c>
    </row>
    <row r="111" spans="1:2">
      <c r="A111" s="17" t="s">
        <v>91</v>
      </c>
      <c r="B111">
        <v>1</v>
      </c>
    </row>
    <row r="112" spans="1:2">
      <c r="A112" s="17" t="s">
        <v>51</v>
      </c>
      <c r="B112">
        <v>2</v>
      </c>
    </row>
    <row r="113" spans="1:2">
      <c r="A113" s="17" t="s">
        <v>46</v>
      </c>
      <c r="B113">
        <v>1</v>
      </c>
    </row>
    <row r="114" spans="1:2">
      <c r="A114" s="17" t="s">
        <v>341</v>
      </c>
      <c r="B114">
        <v>1</v>
      </c>
    </row>
    <row r="115" spans="1:2">
      <c r="A115" s="17" t="s">
        <v>355</v>
      </c>
      <c r="B115">
        <v>1</v>
      </c>
    </row>
    <row r="116" spans="1:2">
      <c r="A116" s="17" t="s">
        <v>67</v>
      </c>
      <c r="B116">
        <v>1</v>
      </c>
    </row>
    <row r="117" spans="1:2">
      <c r="A117" s="17" t="s">
        <v>186</v>
      </c>
      <c r="B117">
        <v>1</v>
      </c>
    </row>
    <row r="118" spans="1:2">
      <c r="A118" s="17" t="s">
        <v>60</v>
      </c>
      <c r="B118">
        <v>1</v>
      </c>
    </row>
    <row r="119" spans="1:2">
      <c r="A119" s="17" t="s">
        <v>73</v>
      </c>
      <c r="B119">
        <v>1</v>
      </c>
    </row>
    <row r="120" spans="1:2">
      <c r="A120" s="17" t="s">
        <v>298</v>
      </c>
      <c r="B120">
        <v>1</v>
      </c>
    </row>
    <row r="121" spans="1:2">
      <c r="A121" s="17" t="s">
        <v>577</v>
      </c>
      <c r="B121">
        <v>1</v>
      </c>
    </row>
    <row r="122" spans="1:2">
      <c r="A122" s="17" t="s">
        <v>600</v>
      </c>
      <c r="B122">
        <v>1</v>
      </c>
    </row>
    <row r="123" spans="1:2">
      <c r="A123" s="8" t="s">
        <v>157</v>
      </c>
      <c r="B123">
        <v>1</v>
      </c>
    </row>
    <row r="124" spans="1:2">
      <c r="A124" s="17" t="s">
        <v>564</v>
      </c>
      <c r="B124">
        <v>1</v>
      </c>
    </row>
    <row r="125" spans="1:2">
      <c r="A125" s="7" t="s">
        <v>644</v>
      </c>
      <c r="B125">
        <v>4</v>
      </c>
    </row>
    <row r="126" spans="1:2">
      <c r="A126" s="8" t="s">
        <v>23</v>
      </c>
      <c r="B126">
        <v>1</v>
      </c>
    </row>
    <row r="127" spans="1:2">
      <c r="A127" s="17" t="s">
        <v>645</v>
      </c>
      <c r="B127">
        <v>1</v>
      </c>
    </row>
    <row r="128" spans="1:2">
      <c r="A128" s="8" t="s">
        <v>39</v>
      </c>
      <c r="B128">
        <v>1</v>
      </c>
    </row>
    <row r="129" spans="1:2">
      <c r="A129" s="17" t="s">
        <v>219</v>
      </c>
      <c r="B129">
        <v>1</v>
      </c>
    </row>
    <row r="130" spans="1:2">
      <c r="A130" s="8" t="s">
        <v>150</v>
      </c>
      <c r="B130">
        <v>2</v>
      </c>
    </row>
    <row r="131" spans="1:2">
      <c r="A131" s="17" t="s">
        <v>202</v>
      </c>
      <c r="B131">
        <v>1</v>
      </c>
    </row>
    <row r="132" spans="1:2">
      <c r="A132" s="17" t="s">
        <v>210</v>
      </c>
      <c r="B132">
        <v>1</v>
      </c>
    </row>
    <row r="133" spans="1:2">
      <c r="A133" s="7" t="s">
        <v>1166</v>
      </c>
      <c r="B133">
        <v>10</v>
      </c>
    </row>
    <row r="134" spans="1:2">
      <c r="A134" s="8" t="s">
        <v>23</v>
      </c>
      <c r="B134">
        <v>1</v>
      </c>
    </row>
    <row r="135" spans="1:2">
      <c r="A135" s="17" t="s">
        <v>311</v>
      </c>
      <c r="B135">
        <v>1</v>
      </c>
    </row>
    <row r="136" spans="1:2">
      <c r="A136" s="8" t="s">
        <v>31</v>
      </c>
      <c r="B136">
        <v>1</v>
      </c>
    </row>
    <row r="137" spans="1:2">
      <c r="A137" s="17" t="s">
        <v>316</v>
      </c>
      <c r="B137">
        <v>1</v>
      </c>
    </row>
    <row r="138" spans="1:2">
      <c r="A138" s="8" t="s">
        <v>39</v>
      </c>
      <c r="B138">
        <v>5</v>
      </c>
    </row>
    <row r="139" spans="1:2">
      <c r="A139" s="17" t="s">
        <v>366</v>
      </c>
      <c r="B139">
        <v>1</v>
      </c>
    </row>
    <row r="140" spans="1:2">
      <c r="A140" s="17" t="s">
        <v>236</v>
      </c>
      <c r="B140">
        <v>1</v>
      </c>
    </row>
    <row r="141" spans="1:2">
      <c r="A141" s="17" t="s">
        <v>404</v>
      </c>
      <c r="B141">
        <v>1</v>
      </c>
    </row>
    <row r="142" spans="1:2">
      <c r="A142" s="17" t="s">
        <v>385</v>
      </c>
      <c r="B142">
        <v>1</v>
      </c>
    </row>
    <row r="143" spans="1:2">
      <c r="A143" s="17" t="s">
        <v>272</v>
      </c>
      <c r="B143">
        <v>1</v>
      </c>
    </row>
    <row r="144" spans="1:2">
      <c r="A144" s="8" t="s">
        <v>150</v>
      </c>
      <c r="B144">
        <v>1</v>
      </c>
    </row>
    <row r="145" spans="1:2">
      <c r="A145" s="17" t="s">
        <v>154</v>
      </c>
      <c r="B145">
        <v>1</v>
      </c>
    </row>
    <row r="146" spans="1:2">
      <c r="A146" s="8" t="s">
        <v>157</v>
      </c>
      <c r="B146">
        <v>2</v>
      </c>
    </row>
    <row r="147" spans="1:2">
      <c r="A147" s="17" t="s">
        <v>283</v>
      </c>
      <c r="B147">
        <v>1</v>
      </c>
    </row>
    <row r="148" spans="1:2">
      <c r="A148" s="17" t="s">
        <v>321</v>
      </c>
      <c r="B148">
        <v>1</v>
      </c>
    </row>
    <row r="149" spans="1:2">
      <c r="A149" s="7">
        <v>0</v>
      </c>
      <c r="B149">
        <v>1</v>
      </c>
    </row>
    <row r="150" spans="1:2">
      <c r="A150" s="8" t="s">
        <v>39</v>
      </c>
      <c r="B150">
        <v>1</v>
      </c>
    </row>
    <row r="151" spans="1:2">
      <c r="A151" s="17" t="s">
        <v>573</v>
      </c>
      <c r="B151">
        <v>1</v>
      </c>
    </row>
    <row r="152" spans="1:2">
      <c r="A152" s="7" t="s">
        <v>607</v>
      </c>
      <c r="B152">
        <v>3</v>
      </c>
    </row>
    <row r="153" spans="1:2">
      <c r="A153" s="8" t="s">
        <v>23</v>
      </c>
      <c r="B153">
        <v>1</v>
      </c>
    </row>
    <row r="154" spans="1:2">
      <c r="A154" s="17" t="s">
        <v>651</v>
      </c>
      <c r="B154">
        <v>1</v>
      </c>
    </row>
    <row r="155" spans="1:2">
      <c r="A155" s="8" t="s">
        <v>39</v>
      </c>
      <c r="B155">
        <v>2</v>
      </c>
    </row>
    <row r="156" spans="1:2">
      <c r="A156" s="17" t="s">
        <v>608</v>
      </c>
      <c r="B156">
        <v>1</v>
      </c>
    </row>
    <row r="157" spans="1:2">
      <c r="A157" s="17" t="s">
        <v>675</v>
      </c>
      <c r="B157">
        <v>1</v>
      </c>
    </row>
    <row r="158" spans="1:2">
      <c r="A158" s="7" t="s">
        <v>1167</v>
      </c>
      <c r="B158">
        <v>11</v>
      </c>
    </row>
    <row r="159" spans="1:2">
      <c r="A159" s="8" t="s">
        <v>1167</v>
      </c>
      <c r="B159">
        <v>11</v>
      </c>
    </row>
    <row r="160" spans="1:2">
      <c r="A160" s="17" t="s">
        <v>1167</v>
      </c>
      <c r="B160">
        <v>11</v>
      </c>
    </row>
    <row r="161" spans="1:2">
      <c r="A161" s="7" t="s">
        <v>1168</v>
      </c>
      <c r="B161">
        <v>128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16FD3B8AAE4D4DA991B4C5B9A60005" ma:contentTypeVersion="10" ma:contentTypeDescription="Create a new document." ma:contentTypeScope="" ma:versionID="c177d012624e2bdc1949500c4d2d47d7">
  <xsd:schema xmlns:xsd="http://www.w3.org/2001/XMLSchema" xmlns:xs="http://www.w3.org/2001/XMLSchema" xmlns:p="http://schemas.microsoft.com/office/2006/metadata/properties" xmlns:ns2="1fb3f4c2-6d06-4fe0-9203-bedd6004e942" xmlns:ns3="37165773-b656-4d23-9c79-ce04d375ece1" targetNamespace="http://schemas.microsoft.com/office/2006/metadata/properties" ma:root="true" ma:fieldsID="14e58d169f9a9900f6c970766ba7b35c" ns2:_="" ns3:_="">
    <xsd:import namespace="1fb3f4c2-6d06-4fe0-9203-bedd6004e942"/>
    <xsd:import namespace="37165773-b656-4d23-9c79-ce04d375ec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3f4c2-6d06-4fe0-9203-bedd6004e9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df548b-b2e0-4c04-a26f-11fd9aa1d93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165773-b656-4d23-9c79-ce04d375ece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f3f2a69-0ee4-4596-b2b9-0179bd6e23d3}" ma:internalName="TaxCatchAll" ma:showField="CatchAllData" ma:web="37165773-b656-4d23-9c79-ce04d375ec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7165773-b656-4d23-9c79-ce04d375ece1" xsi:nil="true"/>
    <lcf76f155ced4ddcb4097134ff3c332f xmlns="1fb3f4c2-6d06-4fe0-9203-bedd6004e9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EB8844-96EE-45C8-8688-B880DD30BE3A}"/>
</file>

<file path=customXml/itemProps2.xml><?xml version="1.0" encoding="utf-8"?>
<ds:datastoreItem xmlns:ds="http://schemas.openxmlformats.org/officeDocument/2006/customXml" ds:itemID="{F74A79B3-B496-4342-9D9B-B0CACBF35EF3}"/>
</file>

<file path=customXml/itemProps3.xml><?xml version="1.0" encoding="utf-8"?>
<ds:datastoreItem xmlns:ds="http://schemas.openxmlformats.org/officeDocument/2006/customXml" ds:itemID="{1FCEF080-40C1-49B9-A1BE-D8F31BAF12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2025-06-02T11:08:18Z</dcterms:created>
  <dcterms:modified xsi:type="dcterms:W3CDTF">2026-04-24T02:47:29Z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0x010100DE16FD3B8AAE4D4DA991B4C5B9A60005</vt:lpwstr>
  </property>
  <property fmtid="{D5CDD505-2E9C-101B-9397-08002B2CF9AE}" pid="3" name="MediaServiceImageTags">
    <vt:lpwstr/>
  </property>
</Properties>
</file>